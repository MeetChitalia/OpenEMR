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ss Pat. Count" sheetId="1" r:id="rId4"/>
    <sheet state="visible" name="Revenue Breakdown " sheetId="2" r:id="rId5"/>
    <sheet state="visible" name="Deposit" sheetId="3" r:id="rId6"/>
    <sheet state="visible" name="Shot tracker" sheetId="4" r:id="rId7"/>
  </sheets>
  <definedNames/>
  <calcPr/>
  <extLst>
    <ext uri="GoogleSheetsCustomDataVersion2">
      <go:sheetsCustomData xmlns:go="http://customooxmlschemas.google.com/" r:id="rId8" roundtripDataChecksum="oU9AJDyIiwLxAWdUyHtqFGuLZXbvLxgurWPK/KMHZ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======
ID#AAABV9Uyju8
    (2024-09-26 14:17:59)
TAKE TOTAL REVENUE AND DIVIDE BY DAYS YOU HAVE BEEN OPEN.</t>
      </text>
    </comment>
    <comment authorId="0" ref="D24">
      <text>
        <t xml:space="preserve">======
ID#AAABV9Uyju4
    (2024-09-26 14:17:59)
TAKE TOTAL REVENUE AND DIVIDE BY DAYS YOU HAVE BEEN OPEN.</t>
      </text>
    </comment>
    <comment authorId="0" ref="Z24">
      <text>
        <t xml:space="preserve">======
ID#AAABV9UyjvA
    (2024-09-26 14:17:59)
TAKE TOTAL REVENUE AND DIVIDE BY DAYS YOU HAVE BEEN OPEN.</t>
      </text>
    </comment>
    <comment authorId="0" ref="G24">
      <text>
        <t xml:space="preserve">======
ID#AAABV9Uyjuw
    (2024-09-26 14:17:59)
TAKE TOTAL REVENUE AND DIVIDE BY DAYS YOU HAVE BEEN OPEN.</t>
      </text>
    </comment>
    <comment authorId="0" ref="Y24">
      <text>
        <t xml:space="preserve">======
ID#AAABV9Uyjus
    (2024-09-26 14:17:59)
TAKE TOTAL REVENUE AND DIVIDE BY DAYS YOU HAVE BEEN OPEN.</t>
      </text>
    </comment>
    <comment authorId="0" ref="V24">
      <text>
        <t xml:space="preserve">======
ID#AAABV9Uyju0
    (2024-09-26 14:17:59)
TAKE TOTAL REVENUE AND DIVIDE BY DAYS YOU HAVE BEEN OPEN.</t>
      </text>
    </comment>
    <comment authorId="0" ref="AB24">
      <text>
        <t xml:space="preserve">======
ID#AAABV9Uyjuo
    (2024-09-26 14:17:59)
TAKE TOTAL REVENUE AND DIVIDE BY DAYS YOU HAVE BEEN OPEN.</t>
      </text>
    </comment>
    <comment authorId="0" ref="AF24">
      <text>
        <t xml:space="preserve">======
ID#AAABV9Uyjuk
    (2024-09-26 14:17:59)
TAKE TOTAL REVENUE AND DIVIDE BY DAYS YOU HAVE BEEN OPEN.</t>
      </text>
    </comment>
    <comment authorId="0" ref="J24">
      <text>
        <t xml:space="preserve">======
ID#AAABV9UyjuY
    (2024-09-26 14:17:59)
TAKE TOTAL REVENUE AND DIVIDE BY DAYS YOU HAVE BEEN OPEN.</t>
      </text>
    </comment>
    <comment authorId="0" ref="K24">
      <text>
        <t xml:space="preserve">======
ID#AAABV9Uyjug
    (2024-09-26 14:17:59)
TAKE TOTAL REVENUE AND DIVIDE BY DAYS YOU HAVE BEEN OPEN.</t>
      </text>
    </comment>
    <comment authorId="0" ref="AC24">
      <text>
        <t xml:space="preserve">======
ID#AAABV9UyjuU
    (2024-09-26 14:17:59)
TAKE TOTAL REVENUE AND DIVIDE BY DAYS YOU HAVE BEEN OPEN.</t>
      </text>
    </comment>
    <comment authorId="0" ref="W24">
      <text>
        <t xml:space="preserve">======
ID#AAABV9UyjuQ
    (2024-09-26 14:17:59)
TAKE TOTAL REVENUE AND DIVIDE BY DAYS YOU HAVE BEEN OPEN.</t>
      </text>
    </comment>
    <comment authorId="0" ref="H24">
      <text>
        <t xml:space="preserve">======
ID#AAABV9UyjuM
    (2024-09-26 14:17:59)
TAKE TOTAL REVENUE AND DIVIDE BY DAYS YOU HAVE BEEN OPEN.</t>
      </text>
    </comment>
  </commentList>
  <extLst>
    <ext uri="GoogleSheetsCustomDataVersion2">
      <go:sheetsCustomData xmlns:go="http://customooxmlschemas.google.com/" r:id="rId1" roundtripDataSignature="AMtx7mhYraa4RuVkkoQen7YAfQOMQ8CWEQ=="/>
    </ext>
  </extLst>
</comments>
</file>

<file path=xl/sharedStrings.xml><?xml version="1.0" encoding="utf-8"?>
<sst xmlns="http://schemas.openxmlformats.org/spreadsheetml/2006/main" count="98" uniqueCount="50">
  <si>
    <t>HOOVER</t>
  </si>
  <si>
    <t>Day of week &amp; date</t>
  </si>
  <si>
    <t>SEMAGLUTIDE</t>
  </si>
  <si>
    <t>SG TOTAL</t>
  </si>
  <si>
    <t>TIRZEPATIDE</t>
  </si>
  <si>
    <t>TRZ TOTAL</t>
  </si>
  <si>
    <t>PILLS</t>
  </si>
  <si>
    <t>PILLS TOTAL</t>
  </si>
  <si>
    <t>All Other</t>
  </si>
  <si>
    <t>TOTAL</t>
  </si>
  <si>
    <t>TESTOSTERONE</t>
  </si>
  <si>
    <t>TESTOSTERONE TOTAL</t>
  </si>
  <si>
    <t>NEW PTS</t>
  </si>
  <si>
    <t>REVENUE</t>
  </si>
  <si>
    <t>FU PTS</t>
  </si>
  <si>
    <t>PTS</t>
  </si>
  <si>
    <t xml:space="preserve"> REVENUE</t>
  </si>
  <si>
    <t>Revenue</t>
  </si>
  <si>
    <t>AVERAGE</t>
  </si>
  <si>
    <t>AUGUST 2025</t>
  </si>
  <si>
    <t>Office Visit</t>
  </si>
  <si>
    <t>LAB</t>
  </si>
  <si>
    <t>LIPO Inj</t>
  </si>
  <si>
    <t>Semaglutide</t>
  </si>
  <si>
    <t>Tirzepatide</t>
  </si>
  <si>
    <t>Testosterone</t>
  </si>
  <si>
    <t>AfterPay</t>
  </si>
  <si>
    <t>Supplements</t>
  </si>
  <si>
    <t>Protein Drinks</t>
  </si>
  <si>
    <t>Taxes</t>
  </si>
  <si>
    <t xml:space="preserve"> Total</t>
  </si>
  <si>
    <t>Running
Totals</t>
  </si>
  <si>
    <t xml:space="preserve">  </t>
  </si>
  <si>
    <t>CLINIC</t>
  </si>
  <si>
    <t>DATE OF BUSINESS</t>
  </si>
  <si>
    <t>CASH</t>
  </si>
  <si>
    <t>CHECKS</t>
  </si>
  <si>
    <t>Actual Bank Deposit</t>
  </si>
  <si>
    <t>TOTAL DEPOSIT</t>
  </si>
  <si>
    <t>CREDIT</t>
  </si>
  <si>
    <t>SUBTOTAL OF CREDIT/    CHECKS</t>
  </si>
  <si>
    <t>TOTAL REVENUE</t>
  </si>
  <si>
    <t>Total</t>
  </si>
  <si>
    <t>Date:</t>
  </si>
  <si>
    <t># of LIPO Cards</t>
  </si>
  <si>
    <t>Total from cards</t>
  </si>
  <si>
    <t># of SG &amp; TRZ Cards</t>
  </si>
  <si>
    <t># of TRZ Cards</t>
  </si>
  <si>
    <t># of TES Cards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</si>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</sst>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\ yyyy"/>
    <numFmt numFmtId="165" formatCode="m/d"/>
    <numFmt numFmtId="166" formatCode="dddd&quot;, &quot;mmmm&quot; &quot;d&quot;, &quot;yyyy"/>
    <numFmt numFmtId="167" formatCode="&quot;$&quot;#,##0.00"/>
    <numFmt numFmtId="168" formatCode="&quot;$&quot;#,##0.00&quot; &quot;;\(&quot;$&quot;#,##0.00\)"/>
    <numFmt numFmtId="169" formatCode="&quot;$&quot;#,##0.00_);[Red]\(&quot;$&quot;#,##0.00\)"/>
    <numFmt numFmtId="170" formatCode="#,##0.0"/>
    <numFmt numFmtId="171" formatCode="mmmm&quot; &quot;d&quot;, &quot;yyyy"/>
    <numFmt numFmtId="172" formatCode="ddd\ m\-d"/>
  </numFmts>
  <fonts count="29">
    <font>
      <sz val="10.0"/>
      <color rgb="FF000000"/>
      <name val="Helvetica Neue"/>
      <scheme val="minor"/>
    </font>
    <font>
      <b/>
      <sz val="24.0"/>
      <color rgb="FF000000"/>
      <name val="Arial"/>
    </font>
    <font/>
    <font>
      <sz val="10.0"/>
      <color theme="1"/>
      <name val="Helvetica Neue"/>
    </font>
    <font>
      <b/>
      <sz val="21.0"/>
      <color theme="1"/>
      <name val="Helvetica Neue"/>
    </font>
    <font>
      <sz val="11.0"/>
      <color rgb="FF000000"/>
      <name val="Merriweather Sans"/>
    </font>
    <font>
      <b/>
      <sz val="12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b/>
      <sz val="14.0"/>
      <color rgb="FFE62300"/>
      <name val="Arial"/>
    </font>
    <font>
      <b/>
      <sz val="14.0"/>
      <color rgb="FFFF0000"/>
      <name val="Arial"/>
    </font>
    <font>
      <b/>
      <sz val="19.0"/>
      <color rgb="FF000000"/>
      <name val="Arial"/>
    </font>
    <font>
      <sz val="20.0"/>
      <color rgb="FF000000"/>
      <name val="Nunito"/>
    </font>
    <font>
      <b/>
      <sz val="12.0"/>
      <color rgb="FF000000"/>
      <name val="Merriweather Sans"/>
    </font>
    <font>
      <sz val="12.0"/>
      <color theme="1"/>
      <name val="Helvetica Neue"/>
    </font>
    <font>
      <b/>
      <sz val="11.0"/>
      <color rgb="FF000000"/>
      <name val="Merriweather Sans"/>
    </font>
    <font>
      <sz val="12.0"/>
      <color rgb="FFE62300"/>
      <name val="Nunito"/>
    </font>
    <font>
      <b/>
      <sz val="18.0"/>
      <color rgb="FF000000"/>
      <name val="Helvetica Neue"/>
    </font>
    <font>
      <sz val="14.0"/>
      <color rgb="FF000000"/>
      <name val="Helvetica Neue"/>
    </font>
    <font>
      <b/>
      <sz val="10.0"/>
      <color rgb="FF000000"/>
      <name val="Arial"/>
    </font>
    <font>
      <sz val="23.0"/>
      <color rgb="FF000000"/>
      <name val="Arial Narrow"/>
    </font>
    <font>
      <sz val="24.0"/>
      <color rgb="FF000000"/>
      <name val="Arial Narrow"/>
    </font>
    <font>
      <sz val="15.0"/>
      <color rgb="FF000000"/>
      <name val="Nunito"/>
    </font>
    <font>
      <b/>
      <sz val="10.0"/>
      <color rgb="FF000000"/>
      <name val="Arial Black"/>
    </font>
    <font>
      <b/>
      <sz val="10.0"/>
      <color theme="1"/>
      <name val="Helvetica Neue"/>
    </font>
    <font>
      <sz val="10.0"/>
      <color rgb="FF000000"/>
      <name val="Arial Black"/>
    </font>
    <font>
      <sz val="14.0"/>
      <color theme="1"/>
      <name val="Helvetica Neue"/>
    </font>
    <font>
      <color theme="1"/>
      <name val="Helvetica Neue"/>
    </font>
  </fonts>
  <fills count="16">
    <fill>
      <patternFill patternType="none"/>
    </fill>
    <fill>
      <patternFill patternType="lightGray"/>
    </fill>
    <fill>
      <patternFill patternType="solid">
        <fgColor rgb="FFFEFFFF"/>
        <bgColor rgb="FFFEFFFF"/>
      </patternFill>
    </fill>
    <fill>
      <patternFill patternType="solid">
        <fgColor rgb="FFFFFFFF"/>
        <bgColor rgb="FFFFFFFF"/>
      </patternFill>
    </fill>
    <fill>
      <patternFill patternType="solid">
        <fgColor rgb="FFAAAAAA"/>
        <bgColor rgb="FFAAAAAA"/>
      </patternFill>
    </fill>
    <fill>
      <patternFill patternType="solid">
        <fgColor rgb="FFA6A6A6"/>
        <bgColor rgb="FFA6A6A6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EFCA9"/>
        <bgColor rgb="FFFEFCA9"/>
      </patternFill>
    </fill>
    <fill>
      <patternFill patternType="solid">
        <fgColor rgb="FFE62300"/>
        <bgColor rgb="FFE62300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45">
    <border/>
    <border>
      <left style="thin">
        <color rgb="FFCBCBCB"/>
      </left>
      <top style="thin">
        <color rgb="FFCBCBCB"/>
      </top>
      <bottom style="thin">
        <color rgb="FFCBCBCB"/>
      </bottom>
    </border>
    <border>
      <top style="thin">
        <color rgb="FFCBCBCB"/>
      </top>
      <bottom style="thin">
        <color rgb="FFCBCBCB"/>
      </bottom>
    </border>
    <border>
      <right style="thin">
        <color rgb="FFCBCBCB"/>
      </right>
      <top style="thin">
        <color rgb="FFCBCBCB"/>
      </top>
      <bottom style="thin">
        <color rgb="FFCBCBCB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top style="thick">
        <color rgb="FF000000"/>
      </top>
    </border>
    <border>
      <left/>
      <right/>
      <top style="thick">
        <color rgb="FF000000"/>
      </top>
      <bottom style="thin">
        <color rgb="FFCBCBCB"/>
      </bottom>
    </border>
    <border>
      <left/>
      <top style="thick">
        <color rgb="FF000000"/>
      </top>
      <bottom style="thin">
        <color rgb="FFCBCBCB"/>
      </bottom>
    </border>
    <border>
      <top style="thick">
        <color rgb="FF000000"/>
      </top>
      <bottom style="thin">
        <color rgb="FFCBCBCB"/>
      </bottom>
    </border>
    <border>
      <left/>
      <right style="thick">
        <color rgb="FF000000"/>
      </right>
      <top style="thick">
        <color rgb="FF000000"/>
      </top>
      <bottom style="thin">
        <color rgb="FFCBCBCB"/>
      </bottom>
    </border>
    <border>
      <left style="thick">
        <color rgb="FF000000"/>
      </left>
      <right style="thin">
        <color rgb="FF000000"/>
      </right>
      <top style="thin">
        <color rgb="FFCBCBCB"/>
      </top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/>
      <bottom/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/>
      <bottom/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right/>
      <top/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/>
      <top style="thin">
        <color rgb="FFCBCBCB"/>
      </top>
      <bottom style="thin">
        <color rgb="FFCBCBCB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D5FF"/>
      </left>
      <top style="thin">
        <color rgb="FF00D5FF"/>
      </top>
      <bottom style="thin">
        <color rgb="FF000000"/>
      </bottom>
    </border>
    <border>
      <top style="thin">
        <color rgb="FF00D5FF"/>
      </top>
      <bottom style="thin">
        <color rgb="FF000000"/>
      </bottom>
    </border>
    <border>
      <right style="thin">
        <color rgb="FF00D5FF"/>
      </right>
      <top style="thin">
        <color rgb="FF00D5FF"/>
      </top>
      <bottom style="thin">
        <color rgb="FF000000"/>
      </bottom>
    </border>
    <border>
      <left style="thin">
        <color rgb="FF00D5FF"/>
      </left>
      <right style="thin">
        <color rgb="FF00D5FF"/>
      </right>
      <top style="thin">
        <color rgb="FF00D5FF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3" fontId="3" numFmtId="0" xfId="0" applyAlignment="1" applyBorder="1" applyFill="1" applyFont="1">
      <alignment shrinkToFit="0" vertical="bottom" wrapText="1"/>
    </xf>
    <xf borderId="5" fillId="3" fontId="4" numFmtId="164" xfId="0" applyAlignment="1" applyBorder="1" applyFont="1" applyNumberFormat="1">
      <alignment readingOrder="0" shrinkToFit="0" vertical="bottom" wrapText="1"/>
    </xf>
    <xf borderId="6" fillId="0" fontId="2" numFmtId="0" xfId="0" applyAlignment="1" applyBorder="1" applyFont="1">
      <alignment shrinkToFit="0" vertical="top" wrapText="1"/>
    </xf>
    <xf borderId="4" fillId="3" fontId="4" numFmtId="165" xfId="0" applyAlignment="1" applyBorder="1" applyFont="1" applyNumberFormat="1">
      <alignment shrinkToFit="0" vertical="bottom" wrapText="1"/>
    </xf>
    <xf borderId="0" fillId="0" fontId="3" numFmtId="0" xfId="0" applyAlignment="1" applyFont="1">
      <alignment horizontal="center" shrinkToFit="0" vertical="top" wrapText="1"/>
    </xf>
    <xf borderId="4" fillId="2" fontId="3" numFmtId="0" xfId="0" applyAlignment="1" applyBorder="1" applyFont="1">
      <alignment shrinkToFit="0" vertical="bottom" wrapText="1"/>
    </xf>
    <xf borderId="7" fillId="2" fontId="5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7" fillId="2" fontId="5" numFmtId="1" xfId="0" applyAlignment="1" applyBorder="1" applyFont="1" applyNumberFormat="1">
      <alignment horizontal="center" shrinkToFit="0" vertical="bottom" wrapText="0"/>
    </xf>
    <xf borderId="8" fillId="2" fontId="6" numFmtId="0" xfId="0" applyAlignment="1" applyBorder="1" applyFont="1">
      <alignment shrinkToFit="0" vertical="bottom" wrapText="1"/>
    </xf>
    <xf borderId="8" fillId="4" fontId="7" numFmtId="0" xfId="0" applyAlignment="1" applyBorder="1" applyFill="1" applyFont="1">
      <alignment shrinkToFit="0" vertical="bottom" wrapText="0"/>
    </xf>
    <xf borderId="8" fillId="5" fontId="5" numFmtId="0" xfId="0" applyAlignment="1" applyBorder="1" applyFill="1" applyFont="1">
      <alignment horizontal="center" shrinkToFit="0" vertical="bottom" wrapText="0"/>
    </xf>
    <xf borderId="9" fillId="6" fontId="6" numFmtId="49" xfId="0" applyAlignment="1" applyBorder="1" applyFill="1" applyFont="1" applyNumberFormat="1">
      <alignment horizontal="center" shrinkToFit="0" vertical="bottom" wrapText="0"/>
    </xf>
    <xf borderId="10" fillId="0" fontId="2" numFmtId="0" xfId="0" applyAlignment="1" applyBorder="1" applyFont="1">
      <alignment shrinkToFit="0" vertical="top" wrapText="1"/>
    </xf>
    <xf borderId="11" fillId="4" fontId="7" numFmtId="0" xfId="0" applyAlignment="1" applyBorder="1" applyFont="1">
      <alignment horizontal="center" shrinkToFit="0" vertical="bottom" wrapText="0"/>
    </xf>
    <xf borderId="12" fillId="6" fontId="6" numFmtId="49" xfId="0" applyAlignment="1" applyBorder="1" applyFont="1" applyNumberFormat="1">
      <alignment horizontal="center" shrinkToFit="0" vertical="bottom" wrapText="0"/>
    </xf>
    <xf borderId="9" fillId="7" fontId="6" numFmtId="49" xfId="0" applyAlignment="1" applyBorder="1" applyFill="1" applyFont="1" applyNumberFormat="1">
      <alignment horizontal="center" shrinkToFit="0" vertical="bottom" wrapText="0"/>
    </xf>
    <xf borderId="9" fillId="8" fontId="6" numFmtId="49" xfId="0" applyAlignment="1" applyBorder="1" applyFill="1" applyFont="1" applyNumberFormat="1">
      <alignment horizontal="center" shrinkToFit="0" vertical="bottom" wrapText="0"/>
    </xf>
    <xf borderId="13" fillId="2" fontId="6" numFmtId="49" xfId="0" applyAlignment="1" applyBorder="1" applyFont="1" applyNumberFormat="1">
      <alignment horizontal="center" shrinkToFit="0" vertical="bottom" wrapText="0"/>
    </xf>
    <xf borderId="8" fillId="2" fontId="6" numFmtId="49" xfId="0" applyAlignment="1" applyBorder="1" applyFont="1" applyNumberFormat="1">
      <alignment horizontal="center" shrinkToFit="0" vertical="bottom" wrapText="0"/>
    </xf>
    <xf borderId="9" fillId="9" fontId="6" numFmtId="49" xfId="0" applyAlignment="1" applyBorder="1" applyFill="1" applyFont="1" applyNumberFormat="1">
      <alignment horizontal="center" readingOrder="0" shrinkToFit="0" vertical="bottom" wrapText="0"/>
    </xf>
    <xf borderId="8" fillId="2" fontId="5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14" fillId="2" fontId="6" numFmtId="49" xfId="0" applyAlignment="1" applyBorder="1" applyFont="1" applyNumberFormat="1">
      <alignment horizontal="center" shrinkToFit="0" vertical="bottom" wrapText="0"/>
    </xf>
    <xf borderId="15" fillId="4" fontId="7" numFmtId="0" xfId="0" applyAlignment="1" applyBorder="1" applyFont="1">
      <alignment horizontal="center" shrinkToFit="0" vertical="bottom" wrapText="0"/>
    </xf>
    <xf borderId="16" fillId="2" fontId="6" numFmtId="49" xfId="0" applyAlignment="1" applyBorder="1" applyFont="1" applyNumberFormat="1">
      <alignment horizontal="center" shrinkToFit="0" vertical="bottom" wrapText="0"/>
    </xf>
    <xf borderId="8" fillId="2" fontId="6" numFmtId="166" xfId="0" applyAlignment="1" applyBorder="1" applyFont="1" applyNumberFormat="1">
      <alignment horizontal="left" readingOrder="0" shrinkToFit="0" vertical="bottom" wrapText="0"/>
    </xf>
    <xf borderId="8" fillId="4" fontId="8" numFmtId="0" xfId="0" applyAlignment="1" applyBorder="1" applyFont="1">
      <alignment shrinkToFit="0" vertical="bottom" wrapText="0"/>
    </xf>
    <xf borderId="8" fillId="5" fontId="5" numFmtId="0" xfId="0" applyAlignment="1" applyBorder="1" applyFont="1">
      <alignment shrinkToFit="0" vertical="bottom" wrapText="0"/>
    </xf>
    <xf borderId="8" fillId="6" fontId="8" numFmtId="0" xfId="0" applyAlignment="1" applyBorder="1" applyFont="1">
      <alignment horizontal="center" readingOrder="0" shrinkToFit="0" vertical="bottom" wrapText="0"/>
    </xf>
    <xf borderId="17" fillId="6" fontId="8" numFmtId="167" xfId="0" applyAlignment="1" applyBorder="1" applyFont="1" applyNumberFormat="1">
      <alignment horizontal="right" readingOrder="0" shrinkToFit="0" vertical="bottom" wrapText="0"/>
    </xf>
    <xf borderId="13" fillId="6" fontId="8" numFmtId="0" xfId="0" applyAlignment="1" applyBorder="1" applyFont="1">
      <alignment horizontal="center" readingOrder="0" shrinkToFit="0" vertical="bottom" wrapText="0"/>
    </xf>
    <xf borderId="8" fillId="6" fontId="8" numFmtId="167" xfId="0" applyAlignment="1" applyBorder="1" applyFont="1" applyNumberFormat="1">
      <alignment readingOrder="0" shrinkToFit="0" vertical="bottom" wrapText="0"/>
    </xf>
    <xf borderId="8" fillId="6" fontId="9" numFmtId="1" xfId="0" applyAlignment="1" applyBorder="1" applyFont="1" applyNumberFormat="1">
      <alignment horizontal="center" shrinkToFit="0" vertical="bottom" wrapText="0"/>
    </xf>
    <xf borderId="13" fillId="6" fontId="9" numFmtId="168" xfId="0" applyAlignment="1" applyBorder="1" applyFont="1" applyNumberFormat="1">
      <alignment horizontal="right" shrinkToFit="0" vertical="bottom" wrapText="0"/>
    </xf>
    <xf borderId="8" fillId="7" fontId="8" numFmtId="3" xfId="0" applyAlignment="1" applyBorder="1" applyFont="1" applyNumberFormat="1">
      <alignment horizontal="center" readingOrder="0" shrinkToFit="0" vertical="bottom" wrapText="0"/>
    </xf>
    <xf borderId="8" fillId="7" fontId="8" numFmtId="167" xfId="0" applyAlignment="1" applyBorder="1" applyFont="1" applyNumberFormat="1">
      <alignment readingOrder="0" shrinkToFit="0" vertical="bottom" wrapText="0"/>
    </xf>
    <xf borderId="8" fillId="7" fontId="9" numFmtId="1" xfId="0" applyAlignment="1" applyBorder="1" applyFont="1" applyNumberFormat="1">
      <alignment horizontal="center" shrinkToFit="0" vertical="bottom" wrapText="0"/>
    </xf>
    <xf borderId="13" fillId="7" fontId="9" numFmtId="168" xfId="0" applyAlignment="1" applyBorder="1" applyFont="1" applyNumberFormat="1">
      <alignment horizontal="right" shrinkToFit="0" vertical="bottom" wrapText="0"/>
    </xf>
    <xf borderId="8" fillId="8" fontId="8" numFmtId="0" xfId="0" applyAlignment="1" applyBorder="1" applyFont="1">
      <alignment readingOrder="0" shrinkToFit="0" vertical="bottom" wrapText="0"/>
    </xf>
    <xf borderId="8" fillId="8" fontId="8" numFmtId="167" xfId="0" applyAlignment="1" applyBorder="1" applyFont="1" applyNumberFormat="1">
      <alignment readingOrder="0" shrinkToFit="0" vertical="bottom" wrapText="0"/>
    </xf>
    <xf borderId="8" fillId="8" fontId="8" numFmtId="1" xfId="0" applyAlignment="1" applyBorder="1" applyFont="1" applyNumberFormat="1">
      <alignment horizontal="center" shrinkToFit="0" vertical="bottom" wrapText="0"/>
    </xf>
    <xf borderId="13" fillId="8" fontId="8" numFmtId="168" xfId="0" applyAlignment="1" applyBorder="1" applyFont="1" applyNumberFormat="1">
      <alignment horizontal="right" shrinkToFit="0" vertical="bottom" wrapText="0"/>
    </xf>
    <xf borderId="8" fillId="2" fontId="8" numFmtId="167" xfId="0" applyAlignment="1" applyBorder="1" applyFont="1" applyNumberFormat="1">
      <alignment readingOrder="0" shrinkToFit="0" vertical="bottom" wrapText="0"/>
    </xf>
    <xf borderId="8" fillId="10" fontId="8" numFmtId="169" xfId="0" applyAlignment="1" applyBorder="1" applyFill="1" applyFont="1" applyNumberFormat="1">
      <alignment shrinkToFit="0" vertical="bottom" wrapText="0"/>
    </xf>
    <xf borderId="8" fillId="9" fontId="8" numFmtId="0" xfId="0" applyAlignment="1" applyBorder="1" applyFont="1">
      <alignment horizontal="center" readingOrder="0" shrinkToFit="0" vertical="bottom" wrapText="0"/>
    </xf>
    <xf borderId="8" fillId="9" fontId="8" numFmtId="167" xfId="0" applyAlignment="1" applyBorder="1" applyFont="1" applyNumberFormat="1">
      <alignment readingOrder="0" shrinkToFit="0" vertical="bottom" wrapText="0"/>
    </xf>
    <xf borderId="8" fillId="9" fontId="8" numFmtId="1" xfId="0" applyAlignment="1" applyBorder="1" applyFont="1" applyNumberFormat="1">
      <alignment horizontal="center" shrinkToFit="0" vertical="bottom" wrapText="0"/>
    </xf>
    <xf borderId="13" fillId="9" fontId="8" numFmtId="168" xfId="0" applyAlignment="1" applyBorder="1" applyFont="1" applyNumberFormat="1">
      <alignment horizontal="right" shrinkToFit="0" vertical="bottom" wrapText="0"/>
    </xf>
    <xf borderId="14" fillId="6" fontId="8" numFmtId="167" xfId="0" applyAlignment="1" applyBorder="1" applyFont="1" applyNumberFormat="1">
      <alignment readingOrder="0" shrinkToFit="0" vertical="bottom" wrapText="0"/>
    </xf>
    <xf borderId="14" fillId="6" fontId="8" numFmtId="167" xfId="0" applyAlignment="1" applyBorder="1" applyFont="1" applyNumberFormat="1">
      <alignment horizontal="right" readingOrder="0" shrinkToFit="0" vertical="bottom" wrapText="0"/>
    </xf>
    <xf borderId="15" fillId="4" fontId="8" numFmtId="0" xfId="0" applyAlignment="1" applyBorder="1" applyFont="1">
      <alignment shrinkToFit="0" vertical="bottom" wrapText="0"/>
    </xf>
    <xf borderId="8" fillId="9" fontId="8" numFmtId="0" xfId="0" applyAlignment="1" applyBorder="1" applyFont="1">
      <alignment horizontal="center" shrinkToFit="0" vertical="bottom" wrapText="0"/>
    </xf>
    <xf borderId="8" fillId="9" fontId="8" numFmtId="167" xfId="0" applyAlignment="1" applyBorder="1" applyFont="1" applyNumberFormat="1">
      <alignment shrinkToFit="0" vertical="bottom" wrapText="0"/>
    </xf>
    <xf borderId="8" fillId="2" fontId="6" numFmtId="166" xfId="0" applyAlignment="1" applyBorder="1" applyFont="1" applyNumberFormat="1">
      <alignment horizontal="left" shrinkToFit="0" vertical="bottom" wrapText="0"/>
    </xf>
    <xf borderId="8" fillId="6" fontId="8" numFmtId="0" xfId="0" applyAlignment="1" applyBorder="1" applyFont="1">
      <alignment horizontal="center" shrinkToFit="0" vertical="bottom" wrapText="0"/>
    </xf>
    <xf borderId="14" fillId="6" fontId="8" numFmtId="167" xfId="0" applyAlignment="1" applyBorder="1" applyFont="1" applyNumberFormat="1">
      <alignment shrinkToFit="0" vertical="bottom" wrapText="0"/>
    </xf>
    <xf borderId="13" fillId="6" fontId="8" numFmtId="0" xfId="0" applyAlignment="1" applyBorder="1" applyFont="1">
      <alignment horizontal="center" shrinkToFit="0" vertical="bottom" wrapText="0"/>
    </xf>
    <xf borderId="8" fillId="6" fontId="8" numFmtId="167" xfId="0" applyAlignment="1" applyBorder="1" applyFont="1" applyNumberFormat="1">
      <alignment shrinkToFit="0" vertical="bottom" wrapText="0"/>
    </xf>
    <xf borderId="8" fillId="7" fontId="8" numFmtId="3" xfId="0" applyAlignment="1" applyBorder="1" applyFont="1" applyNumberFormat="1">
      <alignment horizontal="center" shrinkToFit="0" vertical="bottom" wrapText="0"/>
    </xf>
    <xf borderId="8" fillId="7" fontId="8" numFmtId="167" xfId="0" applyAlignment="1" applyBorder="1" applyFont="1" applyNumberFormat="1">
      <alignment shrinkToFit="0" vertical="bottom" wrapText="0"/>
    </xf>
    <xf borderId="8" fillId="8" fontId="8" numFmtId="0" xfId="0" applyAlignment="1" applyBorder="1" applyFont="1">
      <alignment shrinkToFit="0" vertical="bottom" wrapText="0"/>
    </xf>
    <xf borderId="8" fillId="8" fontId="8" numFmtId="167" xfId="0" applyAlignment="1" applyBorder="1" applyFont="1" applyNumberFormat="1">
      <alignment shrinkToFit="0" vertical="bottom" wrapText="0"/>
    </xf>
    <xf borderId="8" fillId="2" fontId="8" numFmtId="167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horizontal="left" shrinkToFit="0" vertical="bottom" wrapText="0"/>
    </xf>
    <xf borderId="18" fillId="2" fontId="10" numFmtId="0" xfId="0" applyAlignment="1" applyBorder="1" applyFont="1">
      <alignment horizontal="center" shrinkToFit="0" vertical="bottom" wrapText="0"/>
    </xf>
    <xf borderId="19" fillId="0" fontId="2" numFmtId="0" xfId="0" applyAlignment="1" applyBorder="1" applyFont="1">
      <alignment shrinkToFit="0" vertical="top" wrapText="1"/>
    </xf>
    <xf borderId="13" fillId="5" fontId="3" numFmtId="0" xfId="0" applyAlignment="1" applyBorder="1" applyFont="1">
      <alignment shrinkToFit="0" vertical="bottom" wrapText="1"/>
    </xf>
    <xf borderId="13" fillId="2" fontId="10" numFmtId="49" xfId="0" applyAlignment="1" applyBorder="1" applyFont="1" applyNumberFormat="1">
      <alignment horizontal="center" shrinkToFit="0" vertical="bottom" wrapText="0"/>
    </xf>
    <xf borderId="17" fillId="2" fontId="10" numFmtId="169" xfId="0" applyAlignment="1" applyBorder="1" applyFont="1" applyNumberFormat="1">
      <alignment horizontal="right" shrinkToFit="0" vertical="bottom" wrapText="0"/>
    </xf>
    <xf borderId="15" fillId="4" fontId="3" numFmtId="0" xfId="0" applyAlignment="1" applyBorder="1" applyFont="1">
      <alignment shrinkToFit="0" vertical="bottom" wrapText="1"/>
    </xf>
    <xf borderId="13" fillId="2" fontId="10" numFmtId="169" xfId="0" applyAlignment="1" applyBorder="1" applyFont="1" applyNumberFormat="1">
      <alignment horizontal="right" shrinkToFit="0" vertical="bottom" wrapText="0"/>
    </xf>
    <xf borderId="13" fillId="5" fontId="3" numFmtId="1" xfId="0" applyAlignment="1" applyBorder="1" applyFont="1" applyNumberFormat="1">
      <alignment shrinkToFit="0" vertical="bottom" wrapText="1"/>
    </xf>
    <xf borderId="8" fillId="3" fontId="11" numFmtId="170" xfId="0" applyAlignment="1" applyBorder="1" applyFont="1" applyNumberFormat="1">
      <alignment horizontal="center" shrinkToFit="0" vertical="top" wrapText="1"/>
    </xf>
    <xf borderId="14" fillId="3" fontId="11" numFmtId="167" xfId="0" applyAlignment="1" applyBorder="1" applyFont="1" applyNumberFormat="1">
      <alignment horizontal="center" shrinkToFit="0" vertical="top" wrapText="1"/>
    </xf>
    <xf borderId="20" fillId="4" fontId="3" numFmtId="0" xfId="0" applyAlignment="1" applyBorder="1" applyFont="1">
      <alignment shrinkToFit="0" vertical="bottom" wrapText="1"/>
    </xf>
    <xf borderId="13" fillId="3" fontId="11" numFmtId="170" xfId="0" applyAlignment="1" applyBorder="1" applyFont="1" applyNumberFormat="1">
      <alignment horizontal="center" shrinkToFit="0" vertical="top" wrapText="1"/>
    </xf>
    <xf borderId="8" fillId="3" fontId="11" numFmtId="167" xfId="0" applyAlignment="1" applyBorder="1" applyFont="1" applyNumberFormat="1">
      <alignment horizontal="center" shrinkToFit="0" vertical="top" wrapText="1"/>
    </xf>
    <xf borderId="16" fillId="2" fontId="10" numFmtId="169" xfId="0" applyAlignment="1" applyBorder="1" applyFont="1" applyNumberFormat="1">
      <alignment horizontal="right" shrinkToFit="0" vertical="bottom" wrapText="0"/>
    </xf>
    <xf borderId="21" fillId="3" fontId="11" numFmtId="167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22" fillId="2" fontId="12" numFmtId="0" xfId="0" applyAlignment="1" applyBorder="1" applyFont="1">
      <alignment horizontal="left" shrinkToFit="0" vertical="bottom" wrapText="0"/>
    </xf>
    <xf borderId="23" fillId="0" fontId="2" numFmtId="0" xfId="0" applyAlignment="1" applyBorder="1" applyFont="1">
      <alignment shrinkToFit="0" vertical="top" wrapText="1"/>
    </xf>
    <xf borderId="24" fillId="0" fontId="3" numFmtId="0" xfId="0" applyAlignment="1" applyBorder="1" applyFont="1">
      <alignment shrinkToFit="0" vertical="top" wrapText="1"/>
    </xf>
    <xf borderId="25" fillId="2" fontId="13" numFmtId="49" xfId="0" applyAlignment="1" applyBorder="1" applyFont="1" applyNumberFormat="1">
      <alignment horizontal="center" shrinkToFit="0" vertical="bottom" wrapText="0"/>
    </xf>
    <xf borderId="26" fillId="2" fontId="13" numFmtId="49" xfId="0" applyAlignment="1" applyBorder="1" applyFont="1" applyNumberFormat="1">
      <alignment horizontal="center" readingOrder="0" shrinkToFit="0" vertical="bottom" wrapText="0"/>
    </xf>
    <xf borderId="27" fillId="0" fontId="2" numFmtId="0" xfId="0" applyAlignment="1" applyBorder="1" applyFont="1">
      <alignment shrinkToFit="0" vertical="top" wrapText="1"/>
    </xf>
    <xf borderId="28" fillId="2" fontId="13" numFmtId="49" xfId="0" applyAlignment="1" applyBorder="1" applyFont="1" applyNumberFormat="1">
      <alignment horizontal="center" shrinkToFit="0" vertical="bottom" wrapText="0"/>
    </xf>
    <xf borderId="29" fillId="2" fontId="14" numFmtId="0" xfId="0" applyAlignment="1" applyBorder="1" applyFont="1">
      <alignment horizontal="left" shrinkToFit="0" vertical="bottom" wrapText="0"/>
    </xf>
    <xf borderId="15" fillId="2" fontId="15" numFmtId="49" xfId="0" applyAlignment="1" applyBorder="1" applyFont="1" applyNumberFormat="1">
      <alignment shrinkToFit="0" vertical="bottom" wrapText="1"/>
    </xf>
    <xf borderId="11" fillId="2" fontId="14" numFmtId="49" xfId="0" applyAlignment="1" applyBorder="1" applyFont="1" applyNumberFormat="1">
      <alignment horizontal="center" shrinkToFit="0" vertical="bottom" wrapText="0"/>
    </xf>
    <xf borderId="11" fillId="6" fontId="14" numFmtId="49" xfId="0" applyAlignment="1" applyBorder="1" applyFont="1" applyNumberFormat="1">
      <alignment horizontal="center" shrinkToFit="0" vertical="bottom" wrapText="0"/>
    </xf>
    <xf borderId="11" fillId="7" fontId="14" numFmtId="49" xfId="0" applyAlignment="1" applyBorder="1" applyFont="1" applyNumberFormat="1">
      <alignment horizontal="center" shrinkToFit="0" vertical="bottom" wrapText="0"/>
    </xf>
    <xf borderId="11" fillId="9" fontId="14" numFmtId="49" xfId="0" applyAlignment="1" applyBorder="1" applyFont="1" applyNumberFormat="1">
      <alignment horizontal="center" readingOrder="0" shrinkToFit="0" vertical="bottom" wrapText="0"/>
    </xf>
    <xf borderId="30" fillId="2" fontId="14" numFmtId="49" xfId="0" applyAlignment="1" applyBorder="1" applyFont="1" applyNumberFormat="1">
      <alignment horizontal="center" shrinkToFit="0" vertical="bottom" wrapText="0"/>
    </xf>
    <xf borderId="8" fillId="3" fontId="15" numFmtId="49" xfId="0" applyAlignment="1" applyBorder="1" applyFont="1" applyNumberFormat="1">
      <alignment horizontal="left" shrinkToFit="0" vertical="bottom" wrapText="1"/>
    </xf>
    <xf borderId="31" fillId="3" fontId="16" numFmtId="49" xfId="0" applyAlignment="1" applyBorder="1" applyFont="1" applyNumberFormat="1">
      <alignment shrinkToFit="0" vertical="bottom" wrapText="1"/>
    </xf>
    <xf borderId="31" fillId="3" fontId="7" numFmtId="169" xfId="0" applyAlignment="1" applyBorder="1" applyFont="1" applyNumberFormat="1">
      <alignment horizontal="center" readingOrder="0" shrinkToFit="0" vertical="bottom" wrapText="0"/>
    </xf>
    <xf borderId="31" fillId="3" fontId="7" numFmtId="169" xfId="0" applyAlignment="1" applyBorder="1" applyFont="1" applyNumberFormat="1">
      <alignment horizontal="center" shrinkToFit="0" vertical="bottom" wrapText="0"/>
    </xf>
    <xf borderId="32" fillId="3" fontId="7" numFmtId="169" xfId="0" applyAlignment="1" applyBorder="1" applyFont="1" applyNumberFormat="1">
      <alignment horizontal="center" shrinkToFit="0" vertical="bottom" wrapText="0"/>
    </xf>
    <xf borderId="8" fillId="10" fontId="6" numFmtId="171" xfId="0" applyAlignment="1" applyBorder="1" applyFont="1" applyNumberFormat="1">
      <alignment horizontal="left" readingOrder="0" shrinkToFit="0" vertical="bottom" wrapText="0"/>
    </xf>
    <xf borderId="15" fillId="10" fontId="17" numFmtId="49" xfId="0" applyAlignment="1" applyBorder="1" applyFont="1" applyNumberFormat="1">
      <alignment shrinkToFit="0" vertical="bottom" wrapText="0"/>
    </xf>
    <xf borderId="15" fillId="10" fontId="8" numFmtId="169" xfId="0" applyAlignment="1" applyBorder="1" applyFont="1" applyNumberFormat="1">
      <alignment horizontal="center" readingOrder="0" shrinkToFit="0" vertical="bottom" wrapText="0"/>
    </xf>
    <xf borderId="15" fillId="10" fontId="8" numFmtId="169" xfId="0" applyAlignment="1" applyBorder="1" applyFont="1" applyNumberFormat="1">
      <alignment horizontal="center" shrinkToFit="0" vertical="bottom" wrapText="0"/>
    </xf>
    <xf borderId="33" fillId="10" fontId="7" numFmtId="169" xfId="0" applyAlignment="1" applyBorder="1" applyFont="1" applyNumberFormat="1">
      <alignment horizontal="center" shrinkToFit="0" vertical="bottom" wrapText="0"/>
    </xf>
    <xf borderId="34" fillId="3" fontId="17" numFmtId="49" xfId="0" applyAlignment="1" applyBorder="1" applyFont="1" applyNumberFormat="1">
      <alignment shrinkToFit="0" vertical="bottom" wrapText="0"/>
    </xf>
    <xf borderId="31" fillId="3" fontId="8" numFmtId="169" xfId="0" applyAlignment="1" applyBorder="1" applyFont="1" applyNumberFormat="1">
      <alignment horizontal="center" readingOrder="0" shrinkToFit="0" vertical="bottom" wrapText="0"/>
    </xf>
    <xf borderId="31" fillId="3" fontId="8" numFmtId="169" xfId="0" applyAlignment="1" applyBorder="1" applyFont="1" applyNumberFormat="1">
      <alignment horizontal="center" shrinkToFit="0" vertical="bottom" wrapText="0"/>
    </xf>
    <xf borderId="32" fillId="3" fontId="7" numFmtId="169" xfId="0" applyAlignment="1" applyBorder="1" applyFont="1" applyNumberFormat="1">
      <alignment horizontal="center" shrinkToFit="0" vertical="bottom" wrapText="0"/>
    </xf>
    <xf borderId="35" fillId="10" fontId="17" numFmtId="49" xfId="0" applyAlignment="1" applyBorder="1" applyFont="1" applyNumberFormat="1">
      <alignment shrinkToFit="0" vertical="bottom" wrapText="0"/>
    </xf>
    <xf borderId="31" fillId="3" fontId="17" numFmtId="49" xfId="0" applyAlignment="1" applyBorder="1" applyFont="1" applyNumberFormat="1">
      <alignment shrinkToFit="0" vertical="bottom" wrapText="0"/>
    </xf>
    <xf borderId="8" fillId="3" fontId="6" numFmtId="171" xfId="0" applyAlignment="1" applyBorder="1" applyFont="1" applyNumberFormat="1">
      <alignment horizontal="left" shrinkToFit="0" vertical="bottom" wrapText="0"/>
    </xf>
    <xf borderId="8" fillId="10" fontId="6" numFmtId="171" xfId="0" applyAlignment="1" applyBorder="1" applyFont="1" applyNumberFormat="1">
      <alignment horizontal="left" shrinkToFit="0" vertical="bottom" wrapText="0"/>
    </xf>
    <xf borderId="36" fillId="3" fontId="6" numFmtId="171" xfId="0" applyAlignment="1" applyBorder="1" applyFont="1" applyNumberFormat="1">
      <alignment horizontal="left" shrinkToFit="0" vertical="bottom" wrapText="0"/>
    </xf>
    <xf borderId="37" fillId="10" fontId="6" numFmtId="171" xfId="0" applyAlignment="1" applyBorder="1" applyFont="1" applyNumberFormat="1">
      <alignment horizontal="left" shrinkToFit="0" vertical="bottom" wrapText="0"/>
    </xf>
    <xf borderId="38" fillId="3" fontId="6" numFmtId="171" xfId="0" applyAlignment="1" applyBorder="1" applyFont="1" applyNumberFormat="1">
      <alignment horizontal="left" shrinkToFit="0" vertical="bottom" wrapText="0"/>
    </xf>
    <xf borderId="4" fillId="2" fontId="12" numFmtId="0" xfId="0" applyAlignment="1" applyBorder="1" applyFont="1">
      <alignment horizontal="left" shrinkToFit="0" vertical="bottom" wrapText="0"/>
    </xf>
    <xf borderId="4" fillId="2" fontId="18" numFmtId="49" xfId="0" applyAlignment="1" applyBorder="1" applyFont="1" applyNumberFormat="1">
      <alignment horizontal="center" shrinkToFit="0" vertical="bottom" wrapText="1"/>
    </xf>
    <xf borderId="4" fillId="2" fontId="18" numFmtId="49" xfId="0" applyAlignment="1" applyBorder="1" applyFont="1" applyNumberFormat="1">
      <alignment horizontal="center" shrinkToFit="0" vertical="bottom" wrapText="0"/>
    </xf>
    <xf borderId="39" fillId="2" fontId="13" numFmtId="49" xfId="0" applyAlignment="1" applyBorder="1" applyFont="1" applyNumberFormat="1">
      <alignment horizontal="center" readingOrder="0" shrinkToFit="0" vertical="bottom" wrapText="0"/>
    </xf>
    <xf borderId="8" fillId="2" fontId="19" numFmtId="49" xfId="0" applyAlignment="1" applyBorder="1" applyFont="1" applyNumberFormat="1">
      <alignment horizontal="center" shrinkToFit="0" vertical="bottom" wrapText="0"/>
    </xf>
    <xf borderId="8" fillId="2" fontId="19" numFmtId="49" xfId="0" applyAlignment="1" applyBorder="1" applyFont="1" applyNumberFormat="1">
      <alignment horizontal="center" shrinkToFit="0" vertical="bottom" wrapText="1"/>
    </xf>
    <xf borderId="8" fillId="2" fontId="20" numFmtId="0" xfId="0" applyAlignment="1" applyBorder="1" applyFont="1">
      <alignment horizontal="left" shrinkToFit="0" vertical="bottom" wrapText="0"/>
    </xf>
    <xf borderId="8" fillId="2" fontId="6" numFmtId="172" xfId="0" applyAlignment="1" applyBorder="1" applyFont="1" applyNumberFormat="1">
      <alignment horizontal="left" readingOrder="0" shrinkToFit="0" vertical="bottom" wrapText="0"/>
    </xf>
    <xf borderId="8" fillId="0" fontId="8" numFmtId="169" xfId="0" applyAlignment="1" applyBorder="1" applyFont="1" applyNumberFormat="1">
      <alignment readingOrder="0" shrinkToFit="0" vertical="bottom" wrapText="0"/>
    </xf>
    <xf borderId="8" fillId="0" fontId="8" numFmtId="169" xfId="0" applyAlignment="1" applyBorder="1" applyFont="1" applyNumberFormat="1">
      <alignment shrinkToFit="0" vertical="bottom" wrapText="0"/>
    </xf>
    <xf borderId="8" fillId="0" fontId="8" numFmtId="169" xfId="0" applyAlignment="1" applyBorder="1" applyFont="1" applyNumberFormat="1">
      <alignment horizontal="right" readingOrder="0" shrinkToFit="0" vertical="bottom" wrapText="0"/>
    </xf>
    <xf borderId="10" fillId="0" fontId="8" numFmtId="169" xfId="0" applyAlignment="1" applyBorder="1" applyFont="1" applyNumberFormat="1">
      <alignment horizontal="right" readingOrder="0" shrinkToFit="0" vertical="bottom" wrapText="0"/>
    </xf>
    <xf borderId="13" fillId="3" fontId="8" numFmtId="169" xfId="0" applyAlignment="1" applyBorder="1" applyFont="1" applyNumberFormat="1">
      <alignment horizontal="right" shrinkToFit="0" vertical="bottom" wrapText="0"/>
    </xf>
    <xf borderId="8" fillId="0" fontId="20" numFmtId="0" xfId="0" applyAlignment="1" applyBorder="1" applyFont="1">
      <alignment horizontal="left" shrinkToFit="0" vertical="bottom" wrapText="0"/>
    </xf>
    <xf borderId="8" fillId="2" fontId="6" numFmtId="172" xfId="0" applyAlignment="1" applyBorder="1" applyFont="1" applyNumberFormat="1">
      <alignment horizontal="left" shrinkToFit="0" vertical="bottom" wrapText="0"/>
    </xf>
    <xf borderId="40" fillId="11" fontId="8" numFmtId="49" xfId="0" applyAlignment="1" applyBorder="1" applyFill="1" applyFont="1" applyNumberFormat="1">
      <alignment horizontal="center" shrinkToFit="0" vertical="bottom" wrapText="0"/>
    </xf>
    <xf borderId="40" fillId="11" fontId="7" numFmtId="167" xfId="0" applyAlignment="1" applyBorder="1" applyFont="1" applyNumberFormat="1">
      <alignment shrinkToFit="0" vertical="top" wrapText="0"/>
    </xf>
    <xf borderId="41" fillId="2" fontId="21" numFmtId="49" xfId="0" applyAlignment="1" applyBorder="1" applyFont="1" applyNumberFormat="1">
      <alignment horizontal="center" shrinkToFit="0" vertical="bottom" wrapText="1"/>
    </xf>
    <xf borderId="42" fillId="0" fontId="2" numFmtId="0" xfId="0" applyAlignment="1" applyBorder="1" applyFont="1">
      <alignment shrinkToFit="0" vertical="top" wrapText="1"/>
    </xf>
    <xf borderId="43" fillId="0" fontId="2" numFmtId="0" xfId="0" applyAlignment="1" applyBorder="1" applyFont="1">
      <alignment shrinkToFit="0" vertical="top" wrapText="1"/>
    </xf>
    <xf borderId="44" fillId="2" fontId="22" numFmtId="49" xfId="0" applyAlignment="1" applyBorder="1" applyFont="1" applyNumberFormat="1">
      <alignment horizontal="center" shrinkToFit="0" vertical="bottom" wrapText="1"/>
    </xf>
    <xf borderId="39" fillId="2" fontId="23" numFmtId="49" xfId="0" applyAlignment="1" applyBorder="1" applyFont="1" applyNumberFormat="1">
      <alignment horizontal="center" readingOrder="0" shrinkToFit="0" vertical="bottom" wrapText="0"/>
    </xf>
    <xf borderId="8" fillId="12" fontId="24" numFmtId="49" xfId="0" applyAlignment="1" applyBorder="1" applyFill="1" applyFont="1" applyNumberFormat="1">
      <alignment horizontal="center" shrinkToFit="0" vertical="bottom" wrapText="0"/>
    </xf>
    <xf borderId="13" fillId="12" fontId="24" numFmtId="49" xfId="0" applyAlignment="1" applyBorder="1" applyFont="1" applyNumberFormat="1">
      <alignment horizontal="center" shrinkToFit="0" vertical="bottom" wrapText="1"/>
    </xf>
    <xf borderId="13" fillId="13" fontId="25" numFmtId="49" xfId="0" applyAlignment="1" applyBorder="1" applyFill="1" applyFont="1" applyNumberFormat="1">
      <alignment shrinkToFit="0" vertical="bottom" wrapText="1"/>
    </xf>
    <xf borderId="13" fillId="14" fontId="26" numFmtId="49" xfId="0" applyAlignment="1" applyBorder="1" applyFill="1" applyFont="1" applyNumberFormat="1">
      <alignment horizontal="center" shrinkToFit="0" vertical="bottom" wrapText="1"/>
    </xf>
    <xf borderId="13" fillId="15" fontId="26" numFmtId="49" xfId="0" applyAlignment="1" applyBorder="1" applyFill="1" applyFont="1" applyNumberFormat="1">
      <alignment horizontal="center" shrinkToFit="0" vertical="bottom" wrapText="1"/>
    </xf>
    <xf borderId="13" fillId="9" fontId="26" numFmtId="49" xfId="0" applyAlignment="1" applyBorder="1" applyFont="1" applyNumberFormat="1">
      <alignment horizontal="center" readingOrder="0" shrinkToFit="0" vertical="bottom" wrapText="1"/>
    </xf>
    <xf borderId="13" fillId="9" fontId="26" numFmtId="49" xfId="0" applyAlignment="1" applyBorder="1" applyFont="1" applyNumberFormat="1">
      <alignment horizontal="center" shrinkToFit="0" vertical="bottom" wrapText="1"/>
    </xf>
    <xf borderId="20" fillId="2" fontId="6" numFmtId="172" xfId="0" applyAlignment="1" applyBorder="1" applyFont="1" applyNumberFormat="1">
      <alignment horizontal="center" shrinkToFit="0" vertical="bottom" wrapText="0"/>
    </xf>
    <xf borderId="16" fillId="2" fontId="8" numFmtId="1" xfId="0" applyAlignment="1" applyBorder="1" applyFont="1" applyNumberFormat="1">
      <alignment horizontal="center" readingOrder="0" shrinkToFit="0" vertical="top" wrapText="0"/>
    </xf>
    <xf borderId="16" fillId="2" fontId="8" numFmtId="1" xfId="0" applyAlignment="1" applyBorder="1" applyFont="1" applyNumberFormat="1">
      <alignment horizontal="center" shrinkToFit="0" vertical="top" wrapText="0"/>
    </xf>
    <xf borderId="16" fillId="13" fontId="3" numFmtId="1" xfId="0" applyAlignment="1" applyBorder="1" applyFont="1" applyNumberFormat="1">
      <alignment shrinkToFit="0" vertical="top" wrapText="1"/>
    </xf>
    <xf borderId="16" fillId="2" fontId="27" numFmtId="1" xfId="0" applyAlignment="1" applyBorder="1" applyFont="1" applyNumberFormat="1">
      <alignment horizontal="center" readingOrder="0" shrinkToFit="0" vertical="top" wrapText="1"/>
    </xf>
    <xf borderId="16" fillId="2" fontId="27" numFmtId="1" xfId="0" applyAlignment="1" applyBorder="1" applyFont="1" applyNumberFormat="1">
      <alignment shrinkToFit="0" vertical="top" wrapText="1"/>
    </xf>
    <xf borderId="20" fillId="2" fontId="6" numFmtId="172" xfId="0" applyAlignment="1" applyBorder="1" applyFont="1" applyNumberFormat="1">
      <alignment horizontal="center" readingOrder="0" shrinkToFit="0" vertical="bottom" wrapText="0"/>
    </xf>
    <xf borderId="16" fillId="2" fontId="27" numFmtId="1" xfId="0" applyAlignment="1" applyBorder="1" applyFont="1" applyNumberFormat="1">
      <alignment horizontal="center" shrinkToFit="0" vertical="top" wrapText="1"/>
    </xf>
    <xf borderId="20" fillId="2" fontId="7" numFmtId="49" xfId="0" applyAlignment="1" applyBorder="1" applyFont="1" applyNumberFormat="1">
      <alignment horizontal="center" shrinkToFit="0" vertical="top" wrapText="0"/>
    </xf>
    <xf borderId="16" fillId="2" fontId="7" numFmtId="1" xfId="0" applyAlignment="1" applyBorder="1" applyFont="1" applyNumberFormat="1">
      <alignment horizontal="center" shrinkToFit="0" vertical="top" wrapText="0"/>
    </xf>
    <xf borderId="0" fillId="0" fontId="28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EFFFF"/>
          <bgColor rgb="FFFEFFFF"/>
        </patternFill>
      </fill>
      <border/>
    </dxf>
    <dxf>
      <font/>
      <fill>
        <patternFill patternType="solid">
          <fgColor rgb="FFFEFCA9"/>
          <bgColor rgb="FFFEFCA9"/>
        </patternFill>
      </fill>
      <border/>
    </dxf>
  </dxfs>
  <tableStyles count="1">
    <tableStyle count="3" pivot="0" name="Revenue Breakdown -style">
      <tableStyleElement dxfId="1" type="headerRow"/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P21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venue Breakdown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29"/>
    <col customWidth="1" min="2" max="2" width="3.86"/>
    <col customWidth="1" min="3" max="3" width="2.0"/>
    <col customWidth="1" min="4" max="4" width="11.14"/>
    <col customWidth="1" min="5" max="5" width="17.0"/>
    <col customWidth="1" min="6" max="6" width="1.71"/>
    <col customWidth="1" min="7" max="7" width="11.86"/>
    <col customWidth="1" min="8" max="8" width="17.0"/>
    <col customWidth="1" min="9" max="9" width="1.71"/>
    <col customWidth="1" min="10" max="10" width="12.29"/>
    <col customWidth="1" min="11" max="11" width="17.0"/>
    <col customWidth="1" min="12" max="12" width="2.71"/>
    <col customWidth="1" min="13" max="14" width="13.0"/>
    <col customWidth="1" min="15" max="15" width="2.0"/>
    <col customWidth="1" min="16" max="17" width="13.0"/>
    <col customWidth="1" min="18" max="18" width="1.86"/>
    <col customWidth="1" min="19" max="20" width="13.0"/>
    <col customWidth="1" min="21" max="21" width="2.0"/>
    <col customWidth="1" min="22" max="22" width="13.0"/>
    <col customWidth="1" min="23" max="23" width="19.0"/>
    <col customWidth="1" min="24" max="24" width="2.0"/>
    <col customWidth="1" min="25" max="25" width="12.71"/>
    <col customWidth="1" min="26" max="26" width="16.86"/>
    <col customWidth="1" min="27" max="27" width="1.43"/>
    <col customWidth="1" min="28" max="28" width="12.57"/>
    <col customWidth="1" min="29" max="30" width="17.57"/>
    <col customWidth="1" min="31" max="31" width="2.0"/>
    <col customWidth="1" min="32" max="32" width="17.0"/>
    <col customWidth="1" min="33" max="33" width="2.0"/>
    <col customWidth="1" min="36" max="36" width="2.0"/>
    <col customWidth="1" min="39" max="39" width="2.0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>
        <v>45871.0</v>
      </c>
      <c r="K1" s="6"/>
      <c r="L1" s="6"/>
      <c r="M1" s="6"/>
      <c r="N1" s="6"/>
      <c r="O1" s="7"/>
      <c r="P1" s="7"/>
      <c r="Q1" s="7"/>
      <c r="R1" s="7"/>
      <c r="S1" s="7"/>
      <c r="T1" s="7"/>
      <c r="U1" s="7"/>
      <c r="V1" s="7"/>
      <c r="AB1" s="8"/>
      <c r="AD1" s="9"/>
      <c r="AE1" s="4"/>
      <c r="AF1" s="4"/>
      <c r="AG1" s="4"/>
    </row>
    <row r="2" ht="13.5" customHeight="1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0"/>
      <c r="W2" s="10"/>
      <c r="X2" s="10"/>
      <c r="Y2" s="10"/>
      <c r="Z2" s="10"/>
      <c r="AA2" s="10"/>
      <c r="AB2" s="12"/>
      <c r="AC2" s="10"/>
      <c r="AD2" s="11"/>
      <c r="AE2" s="11"/>
      <c r="AF2" s="11"/>
      <c r="AG2" s="11"/>
    </row>
    <row r="3" ht="19.5" customHeight="1">
      <c r="A3" s="13" t="s">
        <v>1</v>
      </c>
      <c r="B3" s="14"/>
      <c r="C3" s="15"/>
      <c r="D3" s="16" t="s">
        <v>2</v>
      </c>
      <c r="E3" s="17"/>
      <c r="F3" s="18"/>
      <c r="G3" s="19" t="s">
        <v>2</v>
      </c>
      <c r="H3" s="17"/>
      <c r="I3" s="18"/>
      <c r="J3" s="16" t="s">
        <v>3</v>
      </c>
      <c r="K3" s="17"/>
      <c r="L3" s="18"/>
      <c r="M3" s="20" t="s">
        <v>4</v>
      </c>
      <c r="N3" s="17"/>
      <c r="O3" s="18"/>
      <c r="P3" s="20" t="s">
        <v>4</v>
      </c>
      <c r="Q3" s="17"/>
      <c r="R3" s="18"/>
      <c r="S3" s="20" t="s">
        <v>5</v>
      </c>
      <c r="T3" s="17"/>
      <c r="U3" s="18"/>
      <c r="V3" s="21" t="s">
        <v>6</v>
      </c>
      <c r="W3" s="17"/>
      <c r="X3" s="18"/>
      <c r="Y3" s="21" t="s">
        <v>6</v>
      </c>
      <c r="Z3" s="17"/>
      <c r="AA3" s="18"/>
      <c r="AB3" s="21" t="s">
        <v>7</v>
      </c>
      <c r="AC3" s="17"/>
      <c r="AD3" s="22" t="s">
        <v>8</v>
      </c>
      <c r="AE3" s="18"/>
      <c r="AF3" s="23" t="s">
        <v>9</v>
      </c>
      <c r="AG3" s="18"/>
      <c r="AH3" s="24" t="s">
        <v>10</v>
      </c>
      <c r="AI3" s="17"/>
      <c r="AJ3" s="18"/>
      <c r="AK3" s="24" t="s">
        <v>10</v>
      </c>
      <c r="AL3" s="17"/>
      <c r="AM3" s="18"/>
      <c r="AN3" s="24" t="s">
        <v>11</v>
      </c>
      <c r="AO3" s="17"/>
    </row>
    <row r="4" ht="20.25" customHeight="1">
      <c r="A4" s="25"/>
      <c r="B4" s="26"/>
      <c r="C4" s="15"/>
      <c r="D4" s="23" t="s">
        <v>12</v>
      </c>
      <c r="E4" s="27" t="s">
        <v>13</v>
      </c>
      <c r="F4" s="28"/>
      <c r="G4" s="22" t="s">
        <v>14</v>
      </c>
      <c r="H4" s="23" t="s">
        <v>13</v>
      </c>
      <c r="I4" s="28"/>
      <c r="J4" s="23" t="s">
        <v>15</v>
      </c>
      <c r="K4" s="23" t="s">
        <v>16</v>
      </c>
      <c r="L4" s="28"/>
      <c r="M4" s="23" t="s">
        <v>12</v>
      </c>
      <c r="N4" s="23" t="s">
        <v>13</v>
      </c>
      <c r="O4" s="28"/>
      <c r="P4" s="23" t="s">
        <v>14</v>
      </c>
      <c r="Q4" s="23" t="s">
        <v>13</v>
      </c>
      <c r="R4" s="28"/>
      <c r="S4" s="23" t="s">
        <v>15</v>
      </c>
      <c r="T4" s="23" t="s">
        <v>16</v>
      </c>
      <c r="U4" s="28"/>
      <c r="V4" s="23" t="s">
        <v>12</v>
      </c>
      <c r="W4" s="23" t="s">
        <v>13</v>
      </c>
      <c r="X4" s="28"/>
      <c r="Y4" s="23" t="s">
        <v>14</v>
      </c>
      <c r="Z4" s="23" t="s">
        <v>13</v>
      </c>
      <c r="AA4" s="28"/>
      <c r="AB4" s="23" t="s">
        <v>15</v>
      </c>
      <c r="AC4" s="23" t="s">
        <v>13</v>
      </c>
      <c r="AD4" s="29" t="s">
        <v>17</v>
      </c>
      <c r="AE4" s="28"/>
      <c r="AF4" s="23" t="s">
        <v>13</v>
      </c>
      <c r="AG4" s="28"/>
      <c r="AH4" s="23" t="s">
        <v>12</v>
      </c>
      <c r="AI4" s="23" t="s">
        <v>13</v>
      </c>
      <c r="AJ4" s="28"/>
      <c r="AK4" s="23" t="s">
        <v>14</v>
      </c>
      <c r="AL4" s="23" t="s">
        <v>13</v>
      </c>
      <c r="AM4" s="28"/>
      <c r="AN4" s="23" t="s">
        <v>15</v>
      </c>
      <c r="AO4" s="23" t="s">
        <v>13</v>
      </c>
    </row>
    <row r="5" ht="19.5" customHeight="1">
      <c r="A5" s="30">
        <v>45871.0</v>
      </c>
      <c r="B5" s="31">
        <v>1.0</v>
      </c>
      <c r="C5" s="32"/>
      <c r="D5" s="33">
        <v>0.0</v>
      </c>
      <c r="E5" s="34">
        <v>0.0</v>
      </c>
      <c r="F5" s="28"/>
      <c r="G5" s="35">
        <v>7.0</v>
      </c>
      <c r="H5" s="36">
        <v>1299.95</v>
      </c>
      <c r="I5" s="28"/>
      <c r="J5" s="37">
        <f t="shared" ref="J5:J22" si="1">(D5+G5)</f>
        <v>7</v>
      </c>
      <c r="K5" s="38">
        <f t="shared" ref="K5:K22" si="2">SUM(E5+H5)</f>
        <v>1299.95</v>
      </c>
      <c r="L5" s="28"/>
      <c r="M5" s="39">
        <v>0.0</v>
      </c>
      <c r="N5" s="40">
        <v>0.0</v>
      </c>
      <c r="O5" s="28"/>
      <c r="P5" s="39">
        <v>7.0</v>
      </c>
      <c r="Q5" s="40">
        <v>3050.0</v>
      </c>
      <c r="R5" s="28"/>
      <c r="S5" s="41">
        <f t="shared" ref="S5:S22" si="3">(M5+P5)</f>
        <v>7</v>
      </c>
      <c r="T5" s="42">
        <f t="shared" ref="T5:T22" si="4">SUM(N5+Q5)</f>
        <v>3050</v>
      </c>
      <c r="U5" s="28"/>
      <c r="V5" s="43">
        <v>0.0</v>
      </c>
      <c r="W5" s="44">
        <v>0.0</v>
      </c>
      <c r="X5" s="28"/>
      <c r="Y5" s="43">
        <v>10.0</v>
      </c>
      <c r="Z5" s="44">
        <v>359.8</v>
      </c>
      <c r="AA5" s="28"/>
      <c r="AB5" s="45">
        <f t="shared" ref="AB5:AB22" si="5">(V5+Y5)</f>
        <v>10</v>
      </c>
      <c r="AC5" s="46">
        <f t="shared" ref="AC5:AC22" si="6">SUM(W5+Z5)</f>
        <v>359.8</v>
      </c>
      <c r="AD5" s="47">
        <v>100.0</v>
      </c>
      <c r="AE5" s="28"/>
      <c r="AF5" s="48">
        <f t="shared" ref="AF5:AF22" si="7">SUM(K5+T5+AC5+AD5)+AO5</f>
        <v>4809.75</v>
      </c>
      <c r="AG5" s="28"/>
      <c r="AH5" s="49">
        <v>0.0</v>
      </c>
      <c r="AI5" s="50">
        <v>0.0</v>
      </c>
      <c r="AJ5" s="28"/>
      <c r="AK5" s="49">
        <v>0.0</v>
      </c>
      <c r="AL5" s="50">
        <v>0.0</v>
      </c>
      <c r="AM5" s="28"/>
      <c r="AN5" s="51">
        <f t="shared" ref="AN5:AN22" si="8">(AH5+AK5)</f>
        <v>0</v>
      </c>
      <c r="AO5" s="52">
        <f t="shared" ref="AO5:AO22" si="9">SUM(AI5+AL5)</f>
        <v>0</v>
      </c>
    </row>
    <row r="6" ht="19.5" customHeight="1">
      <c r="A6" s="30">
        <v>45875.0</v>
      </c>
      <c r="B6" s="31">
        <v>2.0</v>
      </c>
      <c r="C6" s="32"/>
      <c r="D6" s="33">
        <v>0.0</v>
      </c>
      <c r="E6" s="53">
        <v>0.0</v>
      </c>
      <c r="F6" s="28"/>
      <c r="G6" s="35">
        <v>3.0</v>
      </c>
      <c r="H6" s="36">
        <v>1200.0</v>
      </c>
      <c r="I6" s="28"/>
      <c r="J6" s="37">
        <f t="shared" si="1"/>
        <v>3</v>
      </c>
      <c r="K6" s="38">
        <f t="shared" si="2"/>
        <v>1200</v>
      </c>
      <c r="L6" s="28"/>
      <c r="M6" s="39">
        <v>0.0</v>
      </c>
      <c r="N6" s="40">
        <v>0.0</v>
      </c>
      <c r="O6" s="28"/>
      <c r="P6" s="39">
        <v>3.0</v>
      </c>
      <c r="Q6" s="40">
        <v>1400.0</v>
      </c>
      <c r="R6" s="28"/>
      <c r="S6" s="41">
        <f t="shared" si="3"/>
        <v>3</v>
      </c>
      <c r="T6" s="42">
        <f t="shared" si="4"/>
        <v>1400</v>
      </c>
      <c r="U6" s="28"/>
      <c r="V6" s="43">
        <v>1.0</v>
      </c>
      <c r="W6" s="44">
        <v>248.95</v>
      </c>
      <c r="X6" s="28"/>
      <c r="Y6" s="43">
        <v>3.0</v>
      </c>
      <c r="Z6" s="44">
        <v>179.9</v>
      </c>
      <c r="AA6" s="28"/>
      <c r="AB6" s="45">
        <f t="shared" si="5"/>
        <v>4</v>
      </c>
      <c r="AC6" s="46">
        <f t="shared" si="6"/>
        <v>428.85</v>
      </c>
      <c r="AD6" s="47">
        <v>200.0</v>
      </c>
      <c r="AE6" s="28"/>
      <c r="AF6" s="48">
        <f t="shared" si="7"/>
        <v>3228.85</v>
      </c>
      <c r="AG6" s="28"/>
      <c r="AH6" s="49">
        <v>0.0</v>
      </c>
      <c r="AI6" s="50">
        <v>0.0</v>
      </c>
      <c r="AJ6" s="28"/>
      <c r="AK6" s="49">
        <v>0.0</v>
      </c>
      <c r="AL6" s="50">
        <v>0.0</v>
      </c>
      <c r="AM6" s="28"/>
      <c r="AN6" s="51">
        <f t="shared" si="8"/>
        <v>0</v>
      </c>
      <c r="AO6" s="52">
        <f t="shared" si="9"/>
        <v>0</v>
      </c>
    </row>
    <row r="7" ht="19.5" customHeight="1">
      <c r="A7" s="30">
        <v>45876.0</v>
      </c>
      <c r="B7" s="31">
        <v>3.0</v>
      </c>
      <c r="C7" s="32"/>
      <c r="D7" s="33">
        <v>1.0</v>
      </c>
      <c r="E7" s="54">
        <v>0.0</v>
      </c>
      <c r="F7" s="55"/>
      <c r="G7" s="35">
        <v>2.0</v>
      </c>
      <c r="H7" s="36">
        <v>800.0</v>
      </c>
      <c r="I7" s="55"/>
      <c r="J7" s="37">
        <f t="shared" si="1"/>
        <v>3</v>
      </c>
      <c r="K7" s="38">
        <f t="shared" si="2"/>
        <v>800</v>
      </c>
      <c r="L7" s="55"/>
      <c r="M7" s="39">
        <v>0.0</v>
      </c>
      <c r="N7" s="40">
        <v>0.0</v>
      </c>
      <c r="O7" s="55"/>
      <c r="P7" s="39">
        <v>6.0</v>
      </c>
      <c r="Q7" s="40">
        <v>3600.0</v>
      </c>
      <c r="R7" s="55"/>
      <c r="S7" s="41">
        <f t="shared" si="3"/>
        <v>6</v>
      </c>
      <c r="T7" s="42">
        <f t="shared" si="4"/>
        <v>3600</v>
      </c>
      <c r="U7" s="55"/>
      <c r="V7" s="43">
        <v>1.0</v>
      </c>
      <c r="W7" s="44">
        <v>148.95</v>
      </c>
      <c r="X7" s="55"/>
      <c r="Y7" s="43">
        <v>3.0</v>
      </c>
      <c r="Z7" s="44">
        <v>159.9</v>
      </c>
      <c r="AA7" s="55"/>
      <c r="AB7" s="45">
        <f t="shared" si="5"/>
        <v>4</v>
      </c>
      <c r="AC7" s="46">
        <f t="shared" si="6"/>
        <v>308.85</v>
      </c>
      <c r="AD7" s="47">
        <v>150.0</v>
      </c>
      <c r="AE7" s="55"/>
      <c r="AF7" s="48">
        <f t="shared" si="7"/>
        <v>4858.85</v>
      </c>
      <c r="AG7" s="55"/>
      <c r="AH7" s="49">
        <v>0.0</v>
      </c>
      <c r="AI7" s="50">
        <v>0.0</v>
      </c>
      <c r="AJ7" s="55"/>
      <c r="AK7" s="49">
        <v>0.0</v>
      </c>
      <c r="AL7" s="50">
        <v>0.0</v>
      </c>
      <c r="AM7" s="55"/>
      <c r="AN7" s="51">
        <f t="shared" si="8"/>
        <v>0</v>
      </c>
      <c r="AO7" s="52">
        <f t="shared" si="9"/>
        <v>0</v>
      </c>
    </row>
    <row r="8" ht="19.5" customHeight="1">
      <c r="A8" s="30">
        <v>45878.0</v>
      </c>
      <c r="B8" s="31">
        <v>4.0</v>
      </c>
      <c r="C8" s="32"/>
      <c r="D8" s="33">
        <v>0.0</v>
      </c>
      <c r="E8" s="53">
        <v>0.0</v>
      </c>
      <c r="F8" s="55"/>
      <c r="G8" s="35">
        <v>1.0</v>
      </c>
      <c r="H8" s="36">
        <v>400.0</v>
      </c>
      <c r="I8" s="55"/>
      <c r="J8" s="37">
        <f t="shared" si="1"/>
        <v>1</v>
      </c>
      <c r="K8" s="38">
        <f t="shared" si="2"/>
        <v>400</v>
      </c>
      <c r="L8" s="55"/>
      <c r="M8" s="39">
        <v>0.0</v>
      </c>
      <c r="N8" s="40">
        <v>0.0</v>
      </c>
      <c r="O8" s="55"/>
      <c r="P8" s="39">
        <v>4.0</v>
      </c>
      <c r="Q8" s="40">
        <v>1700.0</v>
      </c>
      <c r="R8" s="55"/>
      <c r="S8" s="41">
        <f t="shared" si="3"/>
        <v>4</v>
      </c>
      <c r="T8" s="42">
        <f t="shared" si="4"/>
        <v>1700</v>
      </c>
      <c r="U8" s="55"/>
      <c r="V8" s="43">
        <v>1.0</v>
      </c>
      <c r="W8" s="44">
        <v>79.95</v>
      </c>
      <c r="X8" s="55"/>
      <c r="Y8" s="43">
        <v>3.0</v>
      </c>
      <c r="Z8" s="44">
        <v>179.9</v>
      </c>
      <c r="AA8" s="55"/>
      <c r="AB8" s="45">
        <f t="shared" si="5"/>
        <v>4</v>
      </c>
      <c r="AC8" s="46">
        <f t="shared" si="6"/>
        <v>259.85</v>
      </c>
      <c r="AD8" s="47">
        <v>0.0</v>
      </c>
      <c r="AE8" s="55"/>
      <c r="AF8" s="48">
        <f t="shared" si="7"/>
        <v>2359.85</v>
      </c>
      <c r="AG8" s="55"/>
      <c r="AH8" s="49">
        <v>0.0</v>
      </c>
      <c r="AI8" s="50">
        <v>0.0</v>
      </c>
      <c r="AJ8" s="55"/>
      <c r="AK8" s="49">
        <v>0.0</v>
      </c>
      <c r="AL8" s="50">
        <v>0.0</v>
      </c>
      <c r="AM8" s="55"/>
      <c r="AN8" s="51">
        <f t="shared" si="8"/>
        <v>0</v>
      </c>
      <c r="AO8" s="52">
        <f t="shared" si="9"/>
        <v>0</v>
      </c>
    </row>
    <row r="9" ht="19.5" customHeight="1">
      <c r="A9" s="30">
        <v>45882.0</v>
      </c>
      <c r="B9" s="31">
        <v>5.0</v>
      </c>
      <c r="C9" s="32"/>
      <c r="D9" s="33">
        <v>0.0</v>
      </c>
      <c r="E9" s="53">
        <v>0.0</v>
      </c>
      <c r="F9" s="55"/>
      <c r="G9" s="35">
        <v>2.0</v>
      </c>
      <c r="H9" s="36">
        <v>600.0</v>
      </c>
      <c r="I9" s="55"/>
      <c r="J9" s="37">
        <f t="shared" si="1"/>
        <v>2</v>
      </c>
      <c r="K9" s="38">
        <f t="shared" si="2"/>
        <v>600</v>
      </c>
      <c r="L9" s="55"/>
      <c r="M9" s="39">
        <v>2.0</v>
      </c>
      <c r="N9" s="40">
        <v>1094.0</v>
      </c>
      <c r="O9" s="55"/>
      <c r="P9" s="39">
        <v>4.0</v>
      </c>
      <c r="Q9" s="40">
        <v>2300.0</v>
      </c>
      <c r="R9" s="55"/>
      <c r="S9" s="41">
        <f t="shared" si="3"/>
        <v>6</v>
      </c>
      <c r="T9" s="42">
        <f t="shared" si="4"/>
        <v>3394</v>
      </c>
      <c r="U9" s="55"/>
      <c r="V9" s="43">
        <v>2.0</v>
      </c>
      <c r="W9" s="44">
        <v>397.9</v>
      </c>
      <c r="X9" s="55"/>
      <c r="Y9" s="43">
        <v>1.0</v>
      </c>
      <c r="Z9" s="44">
        <v>179.95</v>
      </c>
      <c r="AA9" s="55"/>
      <c r="AB9" s="45">
        <f t="shared" si="5"/>
        <v>3</v>
      </c>
      <c r="AC9" s="46">
        <f t="shared" si="6"/>
        <v>577.85</v>
      </c>
      <c r="AD9" s="47">
        <v>244.0</v>
      </c>
      <c r="AE9" s="55"/>
      <c r="AF9" s="48">
        <f t="shared" si="7"/>
        <v>4815.85</v>
      </c>
      <c r="AG9" s="55"/>
      <c r="AH9" s="49">
        <v>0.0</v>
      </c>
      <c r="AI9" s="50">
        <v>0.0</v>
      </c>
      <c r="AJ9" s="55"/>
      <c r="AK9" s="49">
        <v>0.0</v>
      </c>
      <c r="AL9" s="50">
        <v>0.0</v>
      </c>
      <c r="AM9" s="55"/>
      <c r="AN9" s="51">
        <f t="shared" si="8"/>
        <v>0</v>
      </c>
      <c r="AO9" s="52">
        <f t="shared" si="9"/>
        <v>0</v>
      </c>
    </row>
    <row r="10" ht="19.5" customHeight="1">
      <c r="A10" s="30">
        <v>45883.0</v>
      </c>
      <c r="B10" s="31">
        <v>6.0</v>
      </c>
      <c r="C10" s="32"/>
      <c r="D10" s="33">
        <v>1.0</v>
      </c>
      <c r="E10" s="53">
        <v>184.5</v>
      </c>
      <c r="F10" s="55"/>
      <c r="G10" s="35">
        <v>1.0</v>
      </c>
      <c r="H10" s="36">
        <v>379.95</v>
      </c>
      <c r="I10" s="55"/>
      <c r="J10" s="37">
        <f t="shared" si="1"/>
        <v>2</v>
      </c>
      <c r="K10" s="38">
        <f t="shared" si="2"/>
        <v>564.45</v>
      </c>
      <c r="L10" s="55"/>
      <c r="M10" s="39">
        <v>1.0</v>
      </c>
      <c r="N10" s="40">
        <v>569.0</v>
      </c>
      <c r="O10" s="55"/>
      <c r="P10" s="39">
        <v>3.0</v>
      </c>
      <c r="Q10" s="40">
        <v>1479.95</v>
      </c>
      <c r="R10" s="55"/>
      <c r="S10" s="41">
        <f t="shared" si="3"/>
        <v>4</v>
      </c>
      <c r="T10" s="42">
        <f t="shared" si="4"/>
        <v>2048.95</v>
      </c>
      <c r="U10" s="55"/>
      <c r="V10" s="43">
        <v>0.0</v>
      </c>
      <c r="W10" s="44">
        <v>0.0</v>
      </c>
      <c r="X10" s="55"/>
      <c r="Y10" s="43">
        <v>4.0</v>
      </c>
      <c r="Z10" s="44">
        <v>199.95</v>
      </c>
      <c r="AA10" s="55"/>
      <c r="AB10" s="45">
        <f t="shared" si="5"/>
        <v>4</v>
      </c>
      <c r="AC10" s="46">
        <f t="shared" si="6"/>
        <v>199.95</v>
      </c>
      <c r="AD10" s="47">
        <v>100.0</v>
      </c>
      <c r="AE10" s="55"/>
      <c r="AF10" s="48">
        <f t="shared" si="7"/>
        <v>2913.35</v>
      </c>
      <c r="AG10" s="55"/>
      <c r="AH10" s="49">
        <v>0.0</v>
      </c>
      <c r="AI10" s="50">
        <v>0.0</v>
      </c>
      <c r="AJ10" s="55"/>
      <c r="AK10" s="49">
        <v>0.0</v>
      </c>
      <c r="AL10" s="50">
        <v>0.0</v>
      </c>
      <c r="AM10" s="55"/>
      <c r="AN10" s="51">
        <f t="shared" si="8"/>
        <v>0</v>
      </c>
      <c r="AO10" s="52">
        <f t="shared" si="9"/>
        <v>0</v>
      </c>
    </row>
    <row r="11" ht="19.5" customHeight="1">
      <c r="A11" s="30">
        <v>45885.0</v>
      </c>
      <c r="B11" s="31">
        <v>7.0</v>
      </c>
      <c r="C11" s="32"/>
      <c r="D11" s="33">
        <v>0.0</v>
      </c>
      <c r="E11" s="53">
        <v>0.0</v>
      </c>
      <c r="F11" s="55"/>
      <c r="G11" s="35">
        <v>1.0</v>
      </c>
      <c r="H11" s="36">
        <v>300.0</v>
      </c>
      <c r="I11" s="55"/>
      <c r="J11" s="37">
        <f t="shared" si="1"/>
        <v>1</v>
      </c>
      <c r="K11" s="38">
        <f t="shared" si="2"/>
        <v>300</v>
      </c>
      <c r="L11" s="55"/>
      <c r="M11" s="39">
        <v>1.0</v>
      </c>
      <c r="N11" s="40">
        <v>569.0</v>
      </c>
      <c r="O11" s="55"/>
      <c r="P11" s="39">
        <v>5.0</v>
      </c>
      <c r="Q11" s="40">
        <v>2849.95</v>
      </c>
      <c r="R11" s="55"/>
      <c r="S11" s="41">
        <f t="shared" si="3"/>
        <v>6</v>
      </c>
      <c r="T11" s="42">
        <f t="shared" si="4"/>
        <v>3418.95</v>
      </c>
      <c r="U11" s="55"/>
      <c r="V11" s="43">
        <v>0.0</v>
      </c>
      <c r="W11" s="44">
        <v>0.0</v>
      </c>
      <c r="X11" s="55"/>
      <c r="Y11" s="43">
        <v>7.0</v>
      </c>
      <c r="Z11" s="44">
        <v>439.8</v>
      </c>
      <c r="AA11" s="55"/>
      <c r="AB11" s="45">
        <f t="shared" si="5"/>
        <v>7</v>
      </c>
      <c r="AC11" s="46">
        <f t="shared" si="6"/>
        <v>439.8</v>
      </c>
      <c r="AD11" s="47">
        <v>200.0</v>
      </c>
      <c r="AE11" s="55"/>
      <c r="AF11" s="48">
        <f t="shared" si="7"/>
        <v>4358.75</v>
      </c>
      <c r="AG11" s="55"/>
      <c r="AH11" s="49">
        <v>0.0</v>
      </c>
      <c r="AI11" s="50">
        <v>0.0</v>
      </c>
      <c r="AJ11" s="55"/>
      <c r="AK11" s="49">
        <v>0.0</v>
      </c>
      <c r="AL11" s="50">
        <v>0.0</v>
      </c>
      <c r="AM11" s="55"/>
      <c r="AN11" s="51">
        <f t="shared" si="8"/>
        <v>0</v>
      </c>
      <c r="AO11" s="52">
        <f t="shared" si="9"/>
        <v>0</v>
      </c>
    </row>
    <row r="12" ht="19.5" customHeight="1">
      <c r="A12" s="30">
        <v>45889.0</v>
      </c>
      <c r="B12" s="31">
        <v>8.0</v>
      </c>
      <c r="C12" s="32"/>
      <c r="D12" s="33">
        <v>0.0</v>
      </c>
      <c r="E12" s="53">
        <v>0.0</v>
      </c>
      <c r="F12" s="55"/>
      <c r="G12" s="35">
        <v>4.0</v>
      </c>
      <c r="H12" s="36">
        <v>700.0</v>
      </c>
      <c r="I12" s="55"/>
      <c r="J12" s="37">
        <f t="shared" si="1"/>
        <v>4</v>
      </c>
      <c r="K12" s="38">
        <f t="shared" si="2"/>
        <v>700</v>
      </c>
      <c r="L12" s="55"/>
      <c r="M12" s="39">
        <v>1.0</v>
      </c>
      <c r="N12" s="40">
        <v>548.95</v>
      </c>
      <c r="O12" s="55"/>
      <c r="P12" s="39">
        <v>5.0</v>
      </c>
      <c r="Q12" s="40">
        <v>3100.0</v>
      </c>
      <c r="R12" s="55"/>
      <c r="S12" s="41">
        <f t="shared" si="3"/>
        <v>6</v>
      </c>
      <c r="T12" s="42">
        <f t="shared" si="4"/>
        <v>3648.95</v>
      </c>
      <c r="U12" s="55"/>
      <c r="V12" s="43">
        <v>1.0</v>
      </c>
      <c r="W12" s="44">
        <v>148.95</v>
      </c>
      <c r="X12" s="55"/>
      <c r="Y12" s="43">
        <v>3.0</v>
      </c>
      <c r="Z12" s="44">
        <v>439.85</v>
      </c>
      <c r="AA12" s="55"/>
      <c r="AB12" s="45">
        <f t="shared" si="5"/>
        <v>4</v>
      </c>
      <c r="AC12" s="46">
        <f t="shared" si="6"/>
        <v>588.8</v>
      </c>
      <c r="AD12" s="47">
        <v>350.0</v>
      </c>
      <c r="AE12" s="55"/>
      <c r="AF12" s="48">
        <f t="shared" si="7"/>
        <v>5287.75</v>
      </c>
      <c r="AG12" s="55"/>
      <c r="AH12" s="56"/>
      <c r="AI12" s="57"/>
      <c r="AJ12" s="55"/>
      <c r="AK12" s="56"/>
      <c r="AL12" s="57"/>
      <c r="AM12" s="55"/>
      <c r="AN12" s="51">
        <f t="shared" si="8"/>
        <v>0</v>
      </c>
      <c r="AO12" s="52">
        <f t="shared" si="9"/>
        <v>0</v>
      </c>
    </row>
    <row r="13" ht="19.5" customHeight="1">
      <c r="A13" s="30">
        <v>45890.0</v>
      </c>
      <c r="B13" s="31">
        <v>9.0</v>
      </c>
      <c r="C13" s="32"/>
      <c r="D13" s="33">
        <v>2.0</v>
      </c>
      <c r="E13" s="53">
        <v>769.0</v>
      </c>
      <c r="F13" s="55"/>
      <c r="G13" s="35">
        <v>1.0</v>
      </c>
      <c r="H13" s="36">
        <v>400.0</v>
      </c>
      <c r="I13" s="55"/>
      <c r="J13" s="37">
        <f t="shared" si="1"/>
        <v>3</v>
      </c>
      <c r="K13" s="38">
        <f t="shared" si="2"/>
        <v>1169</v>
      </c>
      <c r="L13" s="55"/>
      <c r="M13" s="39">
        <v>1.0</v>
      </c>
      <c r="N13" s="40">
        <v>269.0</v>
      </c>
      <c r="O13" s="55"/>
      <c r="P13" s="39">
        <v>3.0</v>
      </c>
      <c r="Q13" s="40">
        <v>1350.0</v>
      </c>
      <c r="R13" s="55"/>
      <c r="S13" s="41">
        <f t="shared" si="3"/>
        <v>4</v>
      </c>
      <c r="T13" s="42">
        <f t="shared" si="4"/>
        <v>1619</v>
      </c>
      <c r="U13" s="55"/>
      <c r="V13" s="43">
        <v>0.0</v>
      </c>
      <c r="W13" s="44">
        <v>0.0</v>
      </c>
      <c r="X13" s="55"/>
      <c r="Y13" s="43">
        <v>3.0</v>
      </c>
      <c r="Z13" s="44">
        <v>279.85</v>
      </c>
      <c r="AA13" s="55"/>
      <c r="AB13" s="45">
        <f t="shared" si="5"/>
        <v>3</v>
      </c>
      <c r="AC13" s="46">
        <f t="shared" si="6"/>
        <v>279.85</v>
      </c>
      <c r="AD13" s="47">
        <v>0.0</v>
      </c>
      <c r="AE13" s="55"/>
      <c r="AF13" s="48">
        <f t="shared" si="7"/>
        <v>3067.85</v>
      </c>
      <c r="AG13" s="55"/>
      <c r="AH13" s="56"/>
      <c r="AI13" s="57"/>
      <c r="AJ13" s="55"/>
      <c r="AK13" s="56"/>
      <c r="AL13" s="57"/>
      <c r="AM13" s="55"/>
      <c r="AN13" s="51">
        <f t="shared" si="8"/>
        <v>0</v>
      </c>
      <c r="AO13" s="52">
        <f t="shared" si="9"/>
        <v>0</v>
      </c>
    </row>
    <row r="14" ht="19.5" customHeight="1">
      <c r="A14" s="30">
        <v>45892.0</v>
      </c>
      <c r="B14" s="31">
        <v>10.0</v>
      </c>
      <c r="C14" s="32"/>
      <c r="D14" s="33">
        <v>1.0</v>
      </c>
      <c r="E14" s="53">
        <v>369.0</v>
      </c>
      <c r="F14" s="55"/>
      <c r="G14" s="35">
        <v>2.0</v>
      </c>
      <c r="H14" s="36">
        <v>650.0</v>
      </c>
      <c r="I14" s="55"/>
      <c r="J14" s="37">
        <f t="shared" si="1"/>
        <v>3</v>
      </c>
      <c r="K14" s="38">
        <f t="shared" si="2"/>
        <v>1019</v>
      </c>
      <c r="L14" s="55"/>
      <c r="M14" s="39">
        <v>1.0</v>
      </c>
      <c r="N14" s="40">
        <v>319.0</v>
      </c>
      <c r="O14" s="55"/>
      <c r="P14" s="39">
        <v>8.0</v>
      </c>
      <c r="Q14" s="40">
        <v>3499.95</v>
      </c>
      <c r="R14" s="55"/>
      <c r="S14" s="41">
        <f t="shared" si="3"/>
        <v>9</v>
      </c>
      <c r="T14" s="42">
        <f t="shared" si="4"/>
        <v>3818.95</v>
      </c>
      <c r="U14" s="55"/>
      <c r="V14" s="43">
        <v>0.0</v>
      </c>
      <c r="W14" s="44">
        <v>0.0</v>
      </c>
      <c r="X14" s="55"/>
      <c r="Y14" s="43">
        <v>12.0</v>
      </c>
      <c r="Z14" s="44">
        <v>1239.4</v>
      </c>
      <c r="AA14" s="55"/>
      <c r="AB14" s="45">
        <f t="shared" si="5"/>
        <v>12</v>
      </c>
      <c r="AC14" s="46">
        <f t="shared" si="6"/>
        <v>1239.4</v>
      </c>
      <c r="AD14" s="47">
        <v>169.0</v>
      </c>
      <c r="AE14" s="55"/>
      <c r="AF14" s="48">
        <f t="shared" si="7"/>
        <v>6246.35</v>
      </c>
      <c r="AG14" s="55"/>
      <c r="AH14" s="56"/>
      <c r="AI14" s="57"/>
      <c r="AJ14" s="55"/>
      <c r="AK14" s="56"/>
      <c r="AL14" s="57"/>
      <c r="AM14" s="55"/>
      <c r="AN14" s="51">
        <f t="shared" si="8"/>
        <v>0</v>
      </c>
      <c r="AO14" s="52">
        <f t="shared" si="9"/>
        <v>0</v>
      </c>
    </row>
    <row r="15" ht="19.5" customHeight="1">
      <c r="A15" s="30">
        <v>45896.0</v>
      </c>
      <c r="B15" s="31">
        <v>11.0</v>
      </c>
      <c r="C15" s="32"/>
      <c r="D15" s="33">
        <v>0.0</v>
      </c>
      <c r="E15" s="53">
        <v>0.0</v>
      </c>
      <c r="F15" s="55"/>
      <c r="G15" s="35">
        <v>4.0</v>
      </c>
      <c r="H15" s="36">
        <v>1575.0</v>
      </c>
      <c r="I15" s="55"/>
      <c r="J15" s="37">
        <f t="shared" si="1"/>
        <v>4</v>
      </c>
      <c r="K15" s="38">
        <f t="shared" si="2"/>
        <v>1575</v>
      </c>
      <c r="L15" s="55"/>
      <c r="M15" s="39">
        <v>2.0</v>
      </c>
      <c r="N15" s="40">
        <v>1138.0</v>
      </c>
      <c r="O15" s="55"/>
      <c r="P15" s="39">
        <v>3.0</v>
      </c>
      <c r="Q15" s="40">
        <v>1175.0</v>
      </c>
      <c r="R15" s="55"/>
      <c r="S15" s="41">
        <f t="shared" si="3"/>
        <v>5</v>
      </c>
      <c r="T15" s="42">
        <f t="shared" si="4"/>
        <v>2313</v>
      </c>
      <c r="U15" s="55"/>
      <c r="V15" s="43">
        <v>0.0</v>
      </c>
      <c r="W15" s="44">
        <v>0.0</v>
      </c>
      <c r="X15" s="55"/>
      <c r="Y15" s="43">
        <v>3.0</v>
      </c>
      <c r="Z15" s="44">
        <v>229.85</v>
      </c>
      <c r="AA15" s="55"/>
      <c r="AB15" s="45">
        <f t="shared" si="5"/>
        <v>3</v>
      </c>
      <c r="AC15" s="46">
        <f t="shared" si="6"/>
        <v>229.85</v>
      </c>
      <c r="AD15" s="47">
        <v>0.0</v>
      </c>
      <c r="AE15" s="55"/>
      <c r="AF15" s="48">
        <f t="shared" si="7"/>
        <v>4117.85</v>
      </c>
      <c r="AG15" s="55"/>
      <c r="AH15" s="56"/>
      <c r="AI15" s="57"/>
      <c r="AJ15" s="55"/>
      <c r="AK15" s="56"/>
      <c r="AL15" s="57"/>
      <c r="AM15" s="55"/>
      <c r="AN15" s="51">
        <f t="shared" si="8"/>
        <v>0</v>
      </c>
      <c r="AO15" s="52">
        <f t="shared" si="9"/>
        <v>0</v>
      </c>
    </row>
    <row r="16" ht="19.5" customHeight="1">
      <c r="A16" s="30">
        <v>45897.0</v>
      </c>
      <c r="B16" s="31">
        <v>12.0</v>
      </c>
      <c r="C16" s="32"/>
      <c r="D16" s="33">
        <v>0.0</v>
      </c>
      <c r="E16" s="53">
        <v>0.0</v>
      </c>
      <c r="F16" s="55"/>
      <c r="G16" s="35">
        <v>3.0</v>
      </c>
      <c r="H16" s="36">
        <v>1100.0</v>
      </c>
      <c r="I16" s="55"/>
      <c r="J16" s="37">
        <f t="shared" si="1"/>
        <v>3</v>
      </c>
      <c r="K16" s="38">
        <f t="shared" si="2"/>
        <v>1100</v>
      </c>
      <c r="L16" s="55"/>
      <c r="M16" s="39">
        <v>1.0</v>
      </c>
      <c r="N16" s="40">
        <v>469.0</v>
      </c>
      <c r="O16" s="55"/>
      <c r="P16" s="39">
        <v>6.0</v>
      </c>
      <c r="Q16" s="40">
        <v>3179.9</v>
      </c>
      <c r="R16" s="55"/>
      <c r="S16" s="41">
        <f t="shared" si="3"/>
        <v>7</v>
      </c>
      <c r="T16" s="42">
        <f t="shared" si="4"/>
        <v>3648.9</v>
      </c>
      <c r="U16" s="55"/>
      <c r="V16" s="43">
        <v>0.0</v>
      </c>
      <c r="W16" s="44">
        <v>0.0</v>
      </c>
      <c r="X16" s="55"/>
      <c r="Y16" s="43">
        <v>1.0</v>
      </c>
      <c r="Z16" s="44">
        <v>179.95</v>
      </c>
      <c r="AA16" s="55"/>
      <c r="AB16" s="45">
        <f t="shared" si="5"/>
        <v>1</v>
      </c>
      <c r="AC16" s="46">
        <f t="shared" si="6"/>
        <v>179.95</v>
      </c>
      <c r="AD16" s="47">
        <v>89.95</v>
      </c>
      <c r="AE16" s="55"/>
      <c r="AF16" s="48">
        <f t="shared" si="7"/>
        <v>5018.8</v>
      </c>
      <c r="AG16" s="55"/>
      <c r="AH16" s="56"/>
      <c r="AI16" s="57"/>
      <c r="AJ16" s="55"/>
      <c r="AK16" s="56"/>
      <c r="AL16" s="57"/>
      <c r="AM16" s="55"/>
      <c r="AN16" s="51">
        <f t="shared" si="8"/>
        <v>0</v>
      </c>
      <c r="AO16" s="52">
        <f t="shared" si="9"/>
        <v>0</v>
      </c>
    </row>
    <row r="17" ht="19.5" customHeight="1">
      <c r="A17" s="30">
        <v>45899.0</v>
      </c>
      <c r="B17" s="31">
        <v>13.0</v>
      </c>
      <c r="C17" s="32"/>
      <c r="D17" s="33">
        <v>0.0</v>
      </c>
      <c r="E17" s="53">
        <v>0.0</v>
      </c>
      <c r="F17" s="55"/>
      <c r="G17" s="35">
        <v>3.0</v>
      </c>
      <c r="H17" s="36">
        <v>690.0</v>
      </c>
      <c r="I17" s="55"/>
      <c r="J17" s="37">
        <f t="shared" si="1"/>
        <v>3</v>
      </c>
      <c r="K17" s="38">
        <f t="shared" si="2"/>
        <v>690</v>
      </c>
      <c r="L17" s="55"/>
      <c r="M17" s="39">
        <v>1.0</v>
      </c>
      <c r="N17" s="40">
        <v>469.0</v>
      </c>
      <c r="O17" s="55"/>
      <c r="P17" s="39">
        <v>7.0</v>
      </c>
      <c r="Q17" s="40">
        <v>4109.9</v>
      </c>
      <c r="R17" s="55"/>
      <c r="S17" s="41">
        <f t="shared" si="3"/>
        <v>8</v>
      </c>
      <c r="T17" s="42">
        <f t="shared" si="4"/>
        <v>4578.9</v>
      </c>
      <c r="U17" s="55"/>
      <c r="V17" s="43">
        <v>1.0</v>
      </c>
      <c r="W17" s="44">
        <v>179.95</v>
      </c>
      <c r="X17" s="55"/>
      <c r="Y17" s="43">
        <v>8.0</v>
      </c>
      <c r="Z17" s="44">
        <v>619.75</v>
      </c>
      <c r="AA17" s="55"/>
      <c r="AB17" s="45">
        <f t="shared" si="5"/>
        <v>9</v>
      </c>
      <c r="AC17" s="46">
        <f t="shared" si="6"/>
        <v>799.7</v>
      </c>
      <c r="AD17" s="47">
        <v>179.95</v>
      </c>
      <c r="AE17" s="55"/>
      <c r="AF17" s="48">
        <f t="shared" si="7"/>
        <v>6248.55</v>
      </c>
      <c r="AG17" s="55"/>
      <c r="AH17" s="56"/>
      <c r="AI17" s="57"/>
      <c r="AJ17" s="55"/>
      <c r="AK17" s="56"/>
      <c r="AL17" s="57"/>
      <c r="AM17" s="55"/>
      <c r="AN17" s="51">
        <f t="shared" si="8"/>
        <v>0</v>
      </c>
      <c r="AO17" s="52">
        <f t="shared" si="9"/>
        <v>0</v>
      </c>
    </row>
    <row r="18" ht="19.5" customHeight="1">
      <c r="A18" s="58"/>
      <c r="B18" s="31">
        <v>14.0</v>
      </c>
      <c r="C18" s="32"/>
      <c r="D18" s="59"/>
      <c r="E18" s="60"/>
      <c r="F18" s="55"/>
      <c r="G18" s="61"/>
      <c r="H18" s="62"/>
      <c r="I18" s="55"/>
      <c r="J18" s="37">
        <f t="shared" si="1"/>
        <v>0</v>
      </c>
      <c r="K18" s="38">
        <f t="shared" si="2"/>
        <v>0</v>
      </c>
      <c r="L18" s="55"/>
      <c r="M18" s="63"/>
      <c r="N18" s="64"/>
      <c r="O18" s="55"/>
      <c r="P18" s="63"/>
      <c r="Q18" s="64"/>
      <c r="R18" s="55"/>
      <c r="S18" s="41">
        <f t="shared" si="3"/>
        <v>0</v>
      </c>
      <c r="T18" s="42">
        <f t="shared" si="4"/>
        <v>0</v>
      </c>
      <c r="U18" s="55"/>
      <c r="V18" s="65"/>
      <c r="W18" s="66"/>
      <c r="X18" s="55"/>
      <c r="Y18" s="65"/>
      <c r="Z18" s="66"/>
      <c r="AA18" s="55"/>
      <c r="AB18" s="45">
        <f t="shared" si="5"/>
        <v>0</v>
      </c>
      <c r="AC18" s="46">
        <f t="shared" si="6"/>
        <v>0</v>
      </c>
      <c r="AD18" s="67"/>
      <c r="AE18" s="55"/>
      <c r="AF18" s="48">
        <f t="shared" si="7"/>
        <v>0</v>
      </c>
      <c r="AG18" s="55"/>
      <c r="AH18" s="56"/>
      <c r="AI18" s="57"/>
      <c r="AJ18" s="55"/>
      <c r="AK18" s="56"/>
      <c r="AL18" s="57"/>
      <c r="AM18" s="55"/>
      <c r="AN18" s="51">
        <f t="shared" si="8"/>
        <v>0</v>
      </c>
      <c r="AO18" s="52">
        <f t="shared" si="9"/>
        <v>0</v>
      </c>
    </row>
    <row r="19" ht="19.5" customHeight="1">
      <c r="A19" s="58"/>
      <c r="B19" s="31">
        <v>15.0</v>
      </c>
      <c r="C19" s="32"/>
      <c r="D19" s="59"/>
      <c r="E19" s="60"/>
      <c r="F19" s="55"/>
      <c r="G19" s="61"/>
      <c r="H19" s="62"/>
      <c r="I19" s="55"/>
      <c r="J19" s="37">
        <f t="shared" si="1"/>
        <v>0</v>
      </c>
      <c r="K19" s="38">
        <f t="shared" si="2"/>
        <v>0</v>
      </c>
      <c r="L19" s="55"/>
      <c r="M19" s="63"/>
      <c r="N19" s="64"/>
      <c r="O19" s="55"/>
      <c r="P19" s="63"/>
      <c r="Q19" s="64"/>
      <c r="R19" s="55"/>
      <c r="S19" s="41">
        <f t="shared" si="3"/>
        <v>0</v>
      </c>
      <c r="T19" s="42">
        <f t="shared" si="4"/>
        <v>0</v>
      </c>
      <c r="U19" s="55"/>
      <c r="V19" s="65"/>
      <c r="W19" s="66"/>
      <c r="X19" s="55"/>
      <c r="Y19" s="65"/>
      <c r="Z19" s="66"/>
      <c r="AA19" s="55"/>
      <c r="AB19" s="45">
        <f t="shared" si="5"/>
        <v>0</v>
      </c>
      <c r="AC19" s="46">
        <f t="shared" si="6"/>
        <v>0</v>
      </c>
      <c r="AD19" s="67"/>
      <c r="AE19" s="55"/>
      <c r="AF19" s="48">
        <f t="shared" si="7"/>
        <v>0</v>
      </c>
      <c r="AG19" s="55"/>
      <c r="AH19" s="56"/>
      <c r="AI19" s="57"/>
      <c r="AJ19" s="55"/>
      <c r="AK19" s="56"/>
      <c r="AL19" s="57"/>
      <c r="AM19" s="55"/>
      <c r="AN19" s="51">
        <f t="shared" si="8"/>
        <v>0</v>
      </c>
      <c r="AO19" s="52">
        <f t="shared" si="9"/>
        <v>0</v>
      </c>
    </row>
    <row r="20" ht="19.5" customHeight="1">
      <c r="A20" s="68"/>
      <c r="B20" s="31">
        <v>16.0</v>
      </c>
      <c r="C20" s="32"/>
      <c r="D20" s="59"/>
      <c r="E20" s="60"/>
      <c r="F20" s="55"/>
      <c r="G20" s="61"/>
      <c r="H20" s="62"/>
      <c r="I20" s="55"/>
      <c r="J20" s="37">
        <f t="shared" si="1"/>
        <v>0</v>
      </c>
      <c r="K20" s="38">
        <f t="shared" si="2"/>
        <v>0</v>
      </c>
      <c r="L20" s="55"/>
      <c r="M20" s="63"/>
      <c r="N20" s="64"/>
      <c r="O20" s="55"/>
      <c r="P20" s="63"/>
      <c r="Q20" s="64"/>
      <c r="R20" s="55"/>
      <c r="S20" s="41">
        <f t="shared" si="3"/>
        <v>0</v>
      </c>
      <c r="T20" s="42">
        <f t="shared" si="4"/>
        <v>0</v>
      </c>
      <c r="U20" s="55"/>
      <c r="V20" s="65"/>
      <c r="W20" s="66"/>
      <c r="X20" s="55"/>
      <c r="Y20" s="65"/>
      <c r="Z20" s="66"/>
      <c r="AA20" s="55"/>
      <c r="AB20" s="45">
        <f t="shared" si="5"/>
        <v>0</v>
      </c>
      <c r="AC20" s="46">
        <f t="shared" si="6"/>
        <v>0</v>
      </c>
      <c r="AD20" s="67"/>
      <c r="AE20" s="55"/>
      <c r="AF20" s="48">
        <f t="shared" si="7"/>
        <v>0</v>
      </c>
      <c r="AG20" s="55"/>
      <c r="AH20" s="56"/>
      <c r="AI20" s="57"/>
      <c r="AJ20" s="55"/>
      <c r="AK20" s="56"/>
      <c r="AL20" s="57"/>
      <c r="AM20" s="55"/>
      <c r="AN20" s="51">
        <f t="shared" si="8"/>
        <v>0</v>
      </c>
      <c r="AO20" s="52">
        <f t="shared" si="9"/>
        <v>0</v>
      </c>
    </row>
    <row r="21" ht="19.5" customHeight="1">
      <c r="A21" s="58"/>
      <c r="B21" s="31">
        <v>17.0</v>
      </c>
      <c r="C21" s="32"/>
      <c r="D21" s="59"/>
      <c r="E21" s="60"/>
      <c r="F21" s="55"/>
      <c r="G21" s="61"/>
      <c r="H21" s="62"/>
      <c r="I21" s="55"/>
      <c r="J21" s="37">
        <f t="shared" si="1"/>
        <v>0</v>
      </c>
      <c r="K21" s="38">
        <f t="shared" si="2"/>
        <v>0</v>
      </c>
      <c r="L21" s="55"/>
      <c r="M21" s="63"/>
      <c r="N21" s="64"/>
      <c r="O21" s="55"/>
      <c r="P21" s="63"/>
      <c r="Q21" s="64"/>
      <c r="R21" s="55"/>
      <c r="S21" s="41">
        <f t="shared" si="3"/>
        <v>0</v>
      </c>
      <c r="T21" s="42">
        <f t="shared" si="4"/>
        <v>0</v>
      </c>
      <c r="U21" s="55"/>
      <c r="V21" s="65"/>
      <c r="W21" s="66"/>
      <c r="X21" s="55"/>
      <c r="Y21" s="65"/>
      <c r="Z21" s="66"/>
      <c r="AA21" s="55"/>
      <c r="AB21" s="45">
        <f t="shared" si="5"/>
        <v>0</v>
      </c>
      <c r="AC21" s="46">
        <f t="shared" si="6"/>
        <v>0</v>
      </c>
      <c r="AD21" s="67"/>
      <c r="AE21" s="55"/>
      <c r="AF21" s="48">
        <f t="shared" si="7"/>
        <v>0</v>
      </c>
      <c r="AG21" s="55"/>
      <c r="AH21" s="56"/>
      <c r="AI21" s="57"/>
      <c r="AJ21" s="55"/>
      <c r="AK21" s="56"/>
      <c r="AL21" s="57"/>
      <c r="AM21" s="55"/>
      <c r="AN21" s="51">
        <f t="shared" si="8"/>
        <v>0</v>
      </c>
      <c r="AO21" s="52">
        <f t="shared" si="9"/>
        <v>0</v>
      </c>
    </row>
    <row r="22" ht="19.5" customHeight="1">
      <c r="A22" s="58"/>
      <c r="B22" s="31">
        <v>18.0</v>
      </c>
      <c r="C22" s="32"/>
      <c r="D22" s="59"/>
      <c r="E22" s="60"/>
      <c r="F22" s="55"/>
      <c r="G22" s="61"/>
      <c r="H22" s="62"/>
      <c r="I22" s="55"/>
      <c r="J22" s="37">
        <f t="shared" si="1"/>
        <v>0</v>
      </c>
      <c r="K22" s="38">
        <f t="shared" si="2"/>
        <v>0</v>
      </c>
      <c r="L22" s="55"/>
      <c r="M22" s="63"/>
      <c r="N22" s="64"/>
      <c r="O22" s="55"/>
      <c r="P22" s="63"/>
      <c r="Q22" s="64"/>
      <c r="R22" s="55"/>
      <c r="S22" s="41">
        <f t="shared" si="3"/>
        <v>0</v>
      </c>
      <c r="T22" s="42">
        <f t="shared" si="4"/>
        <v>0</v>
      </c>
      <c r="U22" s="55"/>
      <c r="V22" s="65"/>
      <c r="W22" s="66"/>
      <c r="X22" s="55"/>
      <c r="Y22" s="65"/>
      <c r="Z22" s="66"/>
      <c r="AA22" s="55"/>
      <c r="AB22" s="45">
        <f t="shared" si="5"/>
        <v>0</v>
      </c>
      <c r="AC22" s="46">
        <f t="shared" si="6"/>
        <v>0</v>
      </c>
      <c r="AD22" s="67"/>
      <c r="AE22" s="55"/>
      <c r="AF22" s="48">
        <f t="shared" si="7"/>
        <v>0</v>
      </c>
      <c r="AG22" s="55"/>
      <c r="AH22" s="56"/>
      <c r="AI22" s="57"/>
      <c r="AJ22" s="55"/>
      <c r="AK22" s="56"/>
      <c r="AL22" s="57"/>
      <c r="AM22" s="55"/>
      <c r="AN22" s="51">
        <f t="shared" si="8"/>
        <v>0</v>
      </c>
      <c r="AO22" s="52">
        <f t="shared" si="9"/>
        <v>0</v>
      </c>
    </row>
    <row r="23" ht="19.5" customHeight="1">
      <c r="A23" s="69" t="s">
        <v>9</v>
      </c>
      <c r="B23" s="70"/>
      <c r="C23" s="71"/>
      <c r="D23" s="72">
        <f t="shared" ref="D23:E23" si="10">SUM(D5:D22)</f>
        <v>5</v>
      </c>
      <c r="E23" s="73">
        <f t="shared" si="10"/>
        <v>1322.5</v>
      </c>
      <c r="F23" s="74"/>
      <c r="G23" s="72">
        <f t="shared" ref="G23:H23" si="11">SUM(G5:G22)</f>
        <v>34</v>
      </c>
      <c r="H23" s="75">
        <f t="shared" si="11"/>
        <v>10094.9</v>
      </c>
      <c r="I23" s="74"/>
      <c r="J23" s="72">
        <f t="shared" ref="J23:K23" si="12">SUM(J5:J22)</f>
        <v>39</v>
      </c>
      <c r="K23" s="75">
        <f t="shared" si="12"/>
        <v>11417.4</v>
      </c>
      <c r="L23" s="74"/>
      <c r="M23" s="72">
        <f t="shared" ref="M23:N23" si="13">SUM(M5:M22)</f>
        <v>11</v>
      </c>
      <c r="N23" s="75">
        <f t="shared" si="13"/>
        <v>5444.95</v>
      </c>
      <c r="O23" s="74"/>
      <c r="P23" s="72">
        <f t="shared" ref="P23:Q23" si="14">SUM(P5:P22)</f>
        <v>64</v>
      </c>
      <c r="Q23" s="75">
        <f t="shared" si="14"/>
        <v>32794.65</v>
      </c>
      <c r="R23" s="74"/>
      <c r="S23" s="72">
        <f t="shared" ref="S23:T23" si="15">SUM(S5:S22)</f>
        <v>75</v>
      </c>
      <c r="T23" s="75">
        <f t="shared" si="15"/>
        <v>38239.6</v>
      </c>
      <c r="U23" s="74"/>
      <c r="V23" s="72">
        <f t="shared" ref="V23:W23" si="16">SUM(V5:V22)</f>
        <v>7</v>
      </c>
      <c r="W23" s="75">
        <f t="shared" si="16"/>
        <v>1204.65</v>
      </c>
      <c r="X23" s="74"/>
      <c r="Y23" s="72">
        <f t="shared" ref="Y23:Z23" si="17">SUM(Y5:Y22)</f>
        <v>61</v>
      </c>
      <c r="Z23" s="75">
        <f t="shared" si="17"/>
        <v>4687.85</v>
      </c>
      <c r="AA23" s="74"/>
      <c r="AB23" s="72">
        <f t="shared" ref="AB23:AD23" si="18">SUM(AB5:AB22)</f>
        <v>68</v>
      </c>
      <c r="AC23" s="75">
        <f t="shared" si="18"/>
        <v>5892.5</v>
      </c>
      <c r="AD23" s="75">
        <f t="shared" si="18"/>
        <v>1782.9</v>
      </c>
      <c r="AE23" s="74"/>
      <c r="AF23" s="75">
        <f>SUM(AF5:AF22)</f>
        <v>57332.4</v>
      </c>
      <c r="AG23" s="74"/>
      <c r="AH23" s="72">
        <f t="shared" ref="AH23:AI23" si="19">SUM(AH5:AH22)</f>
        <v>0</v>
      </c>
      <c r="AI23" s="75">
        <f t="shared" si="19"/>
        <v>0</v>
      </c>
      <c r="AJ23" s="74"/>
      <c r="AK23" s="72">
        <f t="shared" ref="AK23:AL23" si="20">SUM(AK5:AK22)</f>
        <v>0</v>
      </c>
      <c r="AL23" s="75">
        <f t="shared" si="20"/>
        <v>0</v>
      </c>
      <c r="AM23" s="74"/>
      <c r="AN23" s="72">
        <f t="shared" ref="AN23:AO23" si="21">SUM(AN5:AN22)</f>
        <v>0</v>
      </c>
      <c r="AO23" s="75">
        <f t="shared" si="21"/>
        <v>0</v>
      </c>
    </row>
    <row r="24" ht="19.5" customHeight="1">
      <c r="A24" s="69" t="s">
        <v>18</v>
      </c>
      <c r="B24" s="70"/>
      <c r="C24" s="76"/>
      <c r="D24" s="77">
        <f t="shared" ref="D24:E24" si="22">AVERAGEIFS(D5:D22, $AF5:$AF22, "&gt;0")</f>
        <v>0.3846153846</v>
      </c>
      <c r="E24" s="78">
        <f t="shared" si="22"/>
        <v>101.7307692</v>
      </c>
      <c r="F24" s="79"/>
      <c r="G24" s="80">
        <f t="shared" ref="G24:H24" si="23">AVERAGEIFS(G5:G22, $AF5:$AF22, "&gt;0")</f>
        <v>2.615384615</v>
      </c>
      <c r="H24" s="81">
        <f t="shared" si="23"/>
        <v>776.5307692</v>
      </c>
      <c r="I24" s="79"/>
      <c r="J24" s="77">
        <f t="shared" ref="J24:K24" si="24">AVERAGEIFS(J5:J22, $AF5:$AF22, "&gt;0")</f>
        <v>3</v>
      </c>
      <c r="K24" s="81">
        <f t="shared" si="24"/>
        <v>878.2615385</v>
      </c>
      <c r="L24" s="79"/>
      <c r="M24" s="77">
        <f t="shared" ref="M24:N24" si="25">AVERAGEIFS(M5:M22, $AF5:$AF22, "&gt;0")</f>
        <v>0.8461538462</v>
      </c>
      <c r="N24" s="81">
        <f t="shared" si="25"/>
        <v>418.8423077</v>
      </c>
      <c r="O24" s="79"/>
      <c r="P24" s="77">
        <f t="shared" ref="P24:Q24" si="26">AVERAGEIFS(P5:P22, $AF5:$AF22, "&gt;0")</f>
        <v>4.923076923</v>
      </c>
      <c r="Q24" s="81">
        <f t="shared" si="26"/>
        <v>2522.665385</v>
      </c>
      <c r="R24" s="79"/>
      <c r="S24" s="77">
        <f t="shared" ref="S24:T24" si="27">AVERAGEIFS(S5:S22, $AF5:$AF22, "&gt;0")</f>
        <v>5.769230769</v>
      </c>
      <c r="T24" s="81">
        <f t="shared" si="27"/>
        <v>2941.507692</v>
      </c>
      <c r="U24" s="79"/>
      <c r="V24" s="77">
        <f t="shared" ref="V24:W24" si="28">AVERAGEIFS(V5:V22, $AF5:$AF22, "&gt;0")</f>
        <v>0.5384615385</v>
      </c>
      <c r="W24" s="81">
        <f t="shared" si="28"/>
        <v>92.66538462</v>
      </c>
      <c r="X24" s="79"/>
      <c r="Y24" s="77">
        <f t="shared" ref="Y24:Z24" si="29">AVERAGEIFS(Y5:Y22, $AF5:$AF22, "&gt;0")</f>
        <v>4.692307692</v>
      </c>
      <c r="Z24" s="81">
        <f t="shared" si="29"/>
        <v>360.6038462</v>
      </c>
      <c r="AA24" s="79"/>
      <c r="AB24" s="77">
        <f t="shared" ref="AB24:AC24" si="30">AVERAGEIFS(AB5:AB22, $AF5:$AF22, "&gt;0")</f>
        <v>5.230769231</v>
      </c>
      <c r="AC24" s="81">
        <f t="shared" si="30"/>
        <v>453.2692308</v>
      </c>
      <c r="AD24" s="82"/>
      <c r="AE24" s="79"/>
      <c r="AF24" s="81">
        <f>AVERAGEIFS(AF5:AF22, $AF5:$AF22, "&gt;0")</f>
        <v>4410.184615</v>
      </c>
      <c r="AG24" s="79"/>
      <c r="AH24" s="77">
        <f t="shared" ref="AH24:AI24" si="31">AVERAGEIFS(AH5:AH22, $AF5:$AF22, "&gt;0")</f>
        <v>0</v>
      </c>
      <c r="AI24" s="81">
        <f t="shared" si="31"/>
        <v>0</v>
      </c>
      <c r="AJ24" s="79"/>
      <c r="AK24" s="77">
        <f t="shared" ref="AK24:AL24" si="32">AVERAGEIFS(AK5:AK22, $AF5:$AF22, "&gt;0")</f>
        <v>0</v>
      </c>
      <c r="AL24" s="81">
        <f t="shared" si="32"/>
        <v>0</v>
      </c>
      <c r="AM24" s="79"/>
      <c r="AN24" s="83"/>
      <c r="AO24" s="83"/>
    </row>
    <row r="25" ht="15.75" customHeight="1"/>
    <row r="26" ht="15.75" customHeight="1"/>
    <row r="27" ht="15.75" customHeight="1">
      <c r="R27" s="84"/>
      <c r="U27" s="84"/>
    </row>
    <row r="28" ht="15.75" customHeight="1">
      <c r="R28" s="84"/>
      <c r="U28" s="84"/>
    </row>
    <row r="29" ht="15.75" customHeight="1">
      <c r="R29" s="84"/>
      <c r="U29" s="84"/>
    </row>
    <row r="30" ht="15.75" customHeight="1">
      <c r="R30" s="84"/>
      <c r="U30" s="84"/>
    </row>
    <row r="31" ht="15.75" customHeight="1">
      <c r="R31" s="84"/>
      <c r="U31" s="84"/>
    </row>
    <row r="32" ht="15.75" customHeight="1">
      <c r="R32" s="84"/>
      <c r="U32" s="84"/>
    </row>
    <row r="33" ht="15.75" customHeight="1">
      <c r="R33" s="84"/>
      <c r="U33" s="84"/>
    </row>
    <row r="34" ht="15.75" customHeight="1">
      <c r="R34" s="84"/>
      <c r="U34" s="84"/>
    </row>
    <row r="35" ht="15.75" customHeight="1">
      <c r="R35" s="84"/>
      <c r="U35" s="84"/>
    </row>
    <row r="36" ht="15.75" customHeight="1">
      <c r="R36" s="84"/>
      <c r="U36" s="84"/>
    </row>
    <row r="37" ht="15.75" customHeight="1">
      <c r="R37" s="84"/>
      <c r="U37" s="84"/>
    </row>
    <row r="38" ht="15.75" customHeight="1">
      <c r="R38" s="84"/>
      <c r="U38" s="84"/>
    </row>
    <row r="39" ht="15.75" customHeight="1">
      <c r="R39" s="84"/>
      <c r="U39" s="84"/>
    </row>
    <row r="40" ht="15.75" customHeight="1">
      <c r="R40" s="84"/>
      <c r="U40" s="84"/>
    </row>
    <row r="41" ht="15.75" customHeight="1">
      <c r="R41" s="84"/>
      <c r="U41" s="84"/>
    </row>
    <row r="42" ht="15.75" customHeight="1">
      <c r="R42" s="84"/>
      <c r="U42" s="84"/>
    </row>
    <row r="43" ht="15.75" customHeight="1">
      <c r="R43" s="84"/>
      <c r="U43" s="84"/>
    </row>
    <row r="44" ht="15.75" customHeight="1">
      <c r="R44" s="84"/>
      <c r="U44" s="84"/>
    </row>
    <row r="45" ht="15.75" customHeight="1">
      <c r="R45" s="84"/>
      <c r="U45" s="84"/>
    </row>
    <row r="46" ht="15.75" customHeight="1">
      <c r="R46" s="84"/>
      <c r="U46" s="84"/>
    </row>
    <row r="47" ht="15.75" customHeight="1">
      <c r="R47" s="84"/>
      <c r="U47" s="84"/>
    </row>
    <row r="48" ht="15.75" customHeight="1">
      <c r="R48" s="84"/>
      <c r="U48" s="84"/>
    </row>
    <row r="49" ht="15.75" customHeight="1">
      <c r="R49" s="84"/>
      <c r="U49" s="84"/>
    </row>
    <row r="50" ht="15.75" customHeight="1">
      <c r="R50" s="84"/>
      <c r="U50" s="84"/>
    </row>
    <row r="51" ht="15.75" customHeight="1">
      <c r="R51" s="84"/>
      <c r="U51" s="84"/>
    </row>
    <row r="52" ht="15.75" customHeight="1">
      <c r="R52" s="84"/>
      <c r="U52" s="84"/>
    </row>
    <row r="53" ht="15.75" customHeight="1">
      <c r="R53" s="84"/>
      <c r="U53" s="84"/>
    </row>
    <row r="54" ht="15.75" customHeight="1">
      <c r="R54" s="84"/>
      <c r="U54" s="84"/>
    </row>
    <row r="55" ht="15.75" customHeight="1">
      <c r="R55" s="84"/>
      <c r="U55" s="84"/>
    </row>
    <row r="56" ht="15.75" customHeight="1">
      <c r="R56" s="84"/>
      <c r="U56" s="84"/>
    </row>
    <row r="57" ht="15.75" customHeight="1">
      <c r="R57" s="84"/>
      <c r="U57" s="84"/>
    </row>
    <row r="58" ht="15.75" customHeight="1">
      <c r="R58" s="84"/>
      <c r="U58" s="84"/>
    </row>
    <row r="59" ht="15.75" customHeight="1">
      <c r="R59" s="84"/>
      <c r="U59" s="84"/>
    </row>
    <row r="60" ht="15.75" customHeight="1">
      <c r="R60" s="84"/>
      <c r="U60" s="84"/>
    </row>
    <row r="61" ht="15.75" customHeight="1">
      <c r="R61" s="84"/>
      <c r="U61" s="84"/>
    </row>
    <row r="62" ht="15.75" customHeight="1">
      <c r="R62" s="84"/>
      <c r="U62" s="84"/>
    </row>
    <row r="63" ht="15.75" customHeight="1">
      <c r="R63" s="84"/>
      <c r="U63" s="84"/>
    </row>
    <row r="64" ht="15.75" customHeight="1">
      <c r="R64" s="84"/>
      <c r="U64" s="84"/>
    </row>
    <row r="65" ht="15.75" customHeight="1">
      <c r="R65" s="84"/>
      <c r="U65" s="84"/>
    </row>
    <row r="66" ht="15.75" customHeight="1">
      <c r="R66" s="84"/>
      <c r="U66" s="84"/>
    </row>
    <row r="67" ht="15.75" customHeight="1">
      <c r="R67" s="84"/>
      <c r="U67" s="84"/>
    </row>
    <row r="68" ht="15.75" customHeight="1">
      <c r="R68" s="84"/>
      <c r="U68" s="84"/>
    </row>
    <row r="69" ht="15.75" customHeight="1">
      <c r="R69" s="84"/>
      <c r="U69" s="84"/>
    </row>
    <row r="70" ht="15.75" customHeight="1">
      <c r="R70" s="84"/>
      <c r="U70" s="84"/>
    </row>
    <row r="71" ht="15.75" customHeight="1">
      <c r="R71" s="84"/>
      <c r="U71" s="84"/>
    </row>
    <row r="72" ht="15.75" customHeight="1">
      <c r="R72" s="84"/>
      <c r="U72" s="84"/>
    </row>
    <row r="73" ht="15.75" customHeight="1">
      <c r="R73" s="84"/>
      <c r="U73" s="84"/>
    </row>
    <row r="74" ht="15.75" customHeight="1">
      <c r="R74" s="84"/>
      <c r="U74" s="84"/>
    </row>
    <row r="75" ht="15.75" customHeight="1">
      <c r="R75" s="84"/>
      <c r="U75" s="84"/>
    </row>
    <row r="76" ht="15.75" customHeight="1">
      <c r="R76" s="84"/>
      <c r="U76" s="84"/>
    </row>
    <row r="77" ht="15.75" customHeight="1">
      <c r="R77" s="84"/>
      <c r="U77" s="84"/>
    </row>
    <row r="78" ht="15.75" customHeight="1">
      <c r="R78" s="84"/>
      <c r="U78" s="84"/>
    </row>
    <row r="79" ht="15.75" customHeight="1">
      <c r="R79" s="84"/>
      <c r="U79" s="84"/>
    </row>
    <row r="80" ht="15.75" customHeight="1">
      <c r="R80" s="84"/>
      <c r="U80" s="84"/>
    </row>
    <row r="81" ht="15.75" customHeight="1">
      <c r="R81" s="84"/>
      <c r="U81" s="84"/>
    </row>
    <row r="82" ht="15.75" customHeight="1">
      <c r="R82" s="84"/>
      <c r="U82" s="84"/>
    </row>
    <row r="83" ht="15.75" customHeight="1">
      <c r="R83" s="84"/>
      <c r="U83" s="84"/>
    </row>
    <row r="84" ht="15.75" customHeight="1">
      <c r="R84" s="84"/>
      <c r="U84" s="84"/>
    </row>
    <row r="85" ht="15.75" customHeight="1">
      <c r="R85" s="84"/>
      <c r="U85" s="84"/>
    </row>
    <row r="86" ht="15.75" customHeight="1">
      <c r="R86" s="84"/>
      <c r="U86" s="84"/>
    </row>
    <row r="87" ht="15.75" customHeight="1">
      <c r="R87" s="84"/>
      <c r="U87" s="84"/>
    </row>
    <row r="88" ht="15.75" customHeight="1">
      <c r="R88" s="84"/>
      <c r="U88" s="84"/>
    </row>
    <row r="89" ht="15.75" customHeight="1">
      <c r="R89" s="84"/>
      <c r="U89" s="84"/>
    </row>
    <row r="90" ht="15.75" customHeight="1">
      <c r="R90" s="84"/>
      <c r="U90" s="84"/>
    </row>
    <row r="91" ht="15.75" customHeight="1">
      <c r="R91" s="84"/>
      <c r="U91" s="84"/>
    </row>
    <row r="92" ht="15.75" customHeight="1">
      <c r="R92" s="84"/>
      <c r="U92" s="84"/>
    </row>
    <row r="93" ht="15.75" customHeight="1">
      <c r="R93" s="84"/>
      <c r="U93" s="84"/>
    </row>
    <row r="94" ht="15.75" customHeight="1">
      <c r="R94" s="84"/>
      <c r="U94" s="84"/>
    </row>
    <row r="95" ht="15.75" customHeight="1">
      <c r="R95" s="84"/>
      <c r="U95" s="84"/>
    </row>
    <row r="96" ht="15.75" customHeight="1">
      <c r="R96" s="84"/>
      <c r="U96" s="84"/>
    </row>
    <row r="97" ht="15.75" customHeight="1">
      <c r="R97" s="84"/>
      <c r="U97" s="84"/>
    </row>
    <row r="98" ht="15.75" customHeight="1">
      <c r="R98" s="84"/>
      <c r="U98" s="84"/>
    </row>
    <row r="99" ht="15.75" customHeight="1">
      <c r="R99" s="84"/>
      <c r="U99" s="84"/>
    </row>
    <row r="100" ht="15.75" customHeight="1">
      <c r="R100" s="84"/>
      <c r="U100" s="84"/>
    </row>
    <row r="101" ht="15.75" customHeight="1">
      <c r="R101" s="84"/>
      <c r="U101" s="84"/>
    </row>
    <row r="102" ht="15.75" customHeight="1">
      <c r="R102" s="84"/>
      <c r="U102" s="84"/>
    </row>
    <row r="103" ht="15.75" customHeight="1">
      <c r="R103" s="84"/>
      <c r="U103" s="84"/>
    </row>
    <row r="104" ht="15.75" customHeight="1">
      <c r="R104" s="84"/>
      <c r="U104" s="84"/>
    </row>
    <row r="105" ht="15.75" customHeight="1">
      <c r="R105" s="84"/>
      <c r="U105" s="84"/>
    </row>
    <row r="106" ht="15.75" customHeight="1">
      <c r="R106" s="84"/>
      <c r="U106" s="84"/>
    </row>
    <row r="107" ht="15.75" customHeight="1">
      <c r="R107" s="84"/>
      <c r="U107" s="84"/>
    </row>
    <row r="108" ht="15.75" customHeight="1">
      <c r="R108" s="84"/>
      <c r="U108" s="84"/>
    </row>
    <row r="109" ht="15.75" customHeight="1">
      <c r="R109" s="84"/>
      <c r="U109" s="84"/>
    </row>
    <row r="110" ht="15.75" customHeight="1">
      <c r="R110" s="84"/>
      <c r="U110" s="84"/>
    </row>
    <row r="111" ht="15.75" customHeight="1">
      <c r="R111" s="84"/>
      <c r="U111" s="84"/>
    </row>
    <row r="112" ht="15.75" customHeight="1">
      <c r="R112" s="84"/>
      <c r="U112" s="84"/>
    </row>
    <row r="113" ht="15.75" customHeight="1">
      <c r="R113" s="84"/>
      <c r="U113" s="84"/>
    </row>
    <row r="114" ht="15.75" customHeight="1">
      <c r="R114" s="84"/>
      <c r="U114" s="84"/>
    </row>
    <row r="115" ht="15.75" customHeight="1">
      <c r="R115" s="84"/>
      <c r="U115" s="84"/>
    </row>
    <row r="116" ht="15.75" customHeight="1">
      <c r="R116" s="84"/>
      <c r="U116" s="84"/>
    </row>
    <row r="117" ht="15.75" customHeight="1">
      <c r="R117" s="84"/>
      <c r="U117" s="84"/>
    </row>
    <row r="118" ht="15.75" customHeight="1">
      <c r="R118" s="84"/>
      <c r="U118" s="84"/>
    </row>
    <row r="119" ht="15.75" customHeight="1">
      <c r="R119" s="84"/>
      <c r="U119" s="84"/>
    </row>
    <row r="120" ht="15.75" customHeight="1">
      <c r="R120" s="84"/>
      <c r="U120" s="84"/>
    </row>
    <row r="121" ht="15.75" customHeight="1">
      <c r="R121" s="84"/>
      <c r="U121" s="84"/>
    </row>
    <row r="122" ht="15.75" customHeight="1">
      <c r="R122" s="84"/>
      <c r="U122" s="84"/>
    </row>
    <row r="123" ht="15.75" customHeight="1">
      <c r="R123" s="84"/>
      <c r="U123" s="84"/>
    </row>
    <row r="124" ht="15.75" customHeight="1">
      <c r="R124" s="84"/>
      <c r="U124" s="84"/>
    </row>
    <row r="125" ht="15.75" customHeight="1">
      <c r="R125" s="84"/>
      <c r="U125" s="84"/>
    </row>
    <row r="126" ht="15.75" customHeight="1">
      <c r="R126" s="84"/>
      <c r="U126" s="84"/>
    </row>
    <row r="127" ht="15.75" customHeight="1">
      <c r="R127" s="84"/>
      <c r="U127" s="84"/>
    </row>
    <row r="128" ht="15.75" customHeight="1">
      <c r="R128" s="84"/>
      <c r="U128" s="84"/>
    </row>
    <row r="129" ht="15.75" customHeight="1">
      <c r="R129" s="84"/>
      <c r="U129" s="84"/>
    </row>
    <row r="130" ht="15.75" customHeight="1">
      <c r="R130" s="84"/>
      <c r="U130" s="84"/>
    </row>
    <row r="131" ht="15.75" customHeight="1">
      <c r="R131" s="84"/>
      <c r="U131" s="84"/>
    </row>
    <row r="132" ht="15.75" customHeight="1">
      <c r="R132" s="84"/>
      <c r="U132" s="84"/>
    </row>
    <row r="133" ht="15.75" customHeight="1">
      <c r="R133" s="84"/>
      <c r="U133" s="84"/>
    </row>
    <row r="134" ht="15.75" customHeight="1">
      <c r="R134" s="84"/>
      <c r="U134" s="84"/>
    </row>
    <row r="135" ht="15.75" customHeight="1">
      <c r="R135" s="84"/>
      <c r="U135" s="84"/>
    </row>
    <row r="136" ht="15.75" customHeight="1">
      <c r="R136" s="84"/>
      <c r="U136" s="84"/>
    </row>
    <row r="137" ht="15.75" customHeight="1">
      <c r="R137" s="84"/>
      <c r="U137" s="84"/>
    </row>
    <row r="138" ht="15.75" customHeight="1">
      <c r="R138" s="84"/>
      <c r="U138" s="84"/>
    </row>
    <row r="139" ht="15.75" customHeight="1">
      <c r="R139" s="84"/>
      <c r="U139" s="84"/>
    </row>
    <row r="140" ht="15.75" customHeight="1">
      <c r="R140" s="84"/>
      <c r="U140" s="84"/>
    </row>
    <row r="141" ht="15.75" customHeight="1">
      <c r="R141" s="84"/>
      <c r="U141" s="84"/>
    </row>
    <row r="142" ht="15.75" customHeight="1">
      <c r="R142" s="84"/>
      <c r="U142" s="84"/>
    </row>
    <row r="143" ht="15.75" customHeight="1">
      <c r="R143" s="84"/>
      <c r="U143" s="84"/>
    </row>
    <row r="144" ht="15.75" customHeight="1">
      <c r="R144" s="84"/>
      <c r="U144" s="84"/>
    </row>
    <row r="145" ht="15.75" customHeight="1">
      <c r="R145" s="84"/>
      <c r="U145" s="84"/>
    </row>
    <row r="146" ht="15.75" customHeight="1">
      <c r="R146" s="84"/>
      <c r="U146" s="84"/>
    </row>
    <row r="147" ht="15.75" customHeight="1">
      <c r="R147" s="84"/>
      <c r="U147" s="84"/>
    </row>
    <row r="148" ht="15.75" customHeight="1">
      <c r="R148" s="84"/>
      <c r="U148" s="84"/>
    </row>
    <row r="149" ht="15.75" customHeight="1">
      <c r="R149" s="84"/>
      <c r="U149" s="84"/>
    </row>
    <row r="150" ht="15.75" customHeight="1">
      <c r="R150" s="84"/>
      <c r="U150" s="84"/>
    </row>
    <row r="151" ht="15.75" customHeight="1">
      <c r="R151" s="84"/>
      <c r="U151" s="84"/>
    </row>
    <row r="152" ht="15.75" customHeight="1">
      <c r="R152" s="84"/>
      <c r="U152" s="84"/>
    </row>
    <row r="153" ht="15.75" customHeight="1">
      <c r="R153" s="84"/>
      <c r="U153" s="84"/>
    </row>
    <row r="154" ht="15.75" customHeight="1">
      <c r="R154" s="84"/>
      <c r="U154" s="84"/>
    </row>
    <row r="155" ht="15.75" customHeight="1">
      <c r="R155" s="84"/>
      <c r="U155" s="84"/>
    </row>
    <row r="156" ht="15.75" customHeight="1">
      <c r="R156" s="84"/>
      <c r="U156" s="84"/>
    </row>
    <row r="157" ht="15.75" customHeight="1">
      <c r="R157" s="84"/>
      <c r="U157" s="84"/>
    </row>
    <row r="158" ht="15.75" customHeight="1">
      <c r="R158" s="84"/>
      <c r="U158" s="84"/>
    </row>
    <row r="159" ht="15.75" customHeight="1">
      <c r="R159" s="84"/>
      <c r="U159" s="84"/>
    </row>
    <row r="160" ht="15.75" customHeight="1">
      <c r="R160" s="84"/>
      <c r="U160" s="84"/>
    </row>
    <row r="161" ht="15.75" customHeight="1">
      <c r="R161" s="84"/>
      <c r="U161" s="84"/>
    </row>
    <row r="162" ht="15.75" customHeight="1">
      <c r="R162" s="84"/>
      <c r="U162" s="84"/>
    </row>
    <row r="163" ht="15.75" customHeight="1">
      <c r="R163" s="84"/>
      <c r="U163" s="84"/>
    </row>
    <row r="164" ht="15.75" customHeight="1">
      <c r="R164" s="84"/>
      <c r="U164" s="84"/>
    </row>
    <row r="165" ht="15.75" customHeight="1">
      <c r="R165" s="84"/>
      <c r="U165" s="84"/>
    </row>
    <row r="166" ht="15.75" customHeight="1">
      <c r="R166" s="84"/>
      <c r="U166" s="84"/>
    </row>
    <row r="167" ht="15.75" customHeight="1">
      <c r="R167" s="84"/>
      <c r="U167" s="84"/>
    </row>
    <row r="168" ht="15.75" customHeight="1">
      <c r="R168" s="84"/>
      <c r="U168" s="84"/>
    </row>
    <row r="169" ht="15.75" customHeight="1">
      <c r="R169" s="84"/>
      <c r="U169" s="84"/>
    </row>
    <row r="170" ht="15.75" customHeight="1">
      <c r="R170" s="84"/>
      <c r="U170" s="84"/>
    </row>
    <row r="171" ht="15.75" customHeight="1">
      <c r="R171" s="84"/>
      <c r="U171" s="84"/>
    </row>
    <row r="172" ht="15.75" customHeight="1">
      <c r="R172" s="84"/>
      <c r="U172" s="84"/>
    </row>
    <row r="173" ht="15.75" customHeight="1">
      <c r="R173" s="84"/>
      <c r="U173" s="84"/>
    </row>
    <row r="174" ht="15.75" customHeight="1">
      <c r="R174" s="84"/>
      <c r="U174" s="84"/>
    </row>
    <row r="175" ht="15.75" customHeight="1">
      <c r="R175" s="84"/>
      <c r="U175" s="84"/>
    </row>
    <row r="176" ht="15.75" customHeight="1">
      <c r="R176" s="84"/>
      <c r="U176" s="84"/>
    </row>
    <row r="177" ht="15.75" customHeight="1">
      <c r="R177" s="84"/>
      <c r="U177" s="84"/>
    </row>
    <row r="178" ht="15.75" customHeight="1">
      <c r="R178" s="84"/>
      <c r="U178" s="84"/>
    </row>
    <row r="179" ht="15.75" customHeight="1">
      <c r="R179" s="84"/>
      <c r="U179" s="84"/>
    </row>
    <row r="180" ht="15.75" customHeight="1">
      <c r="R180" s="84"/>
      <c r="U180" s="84"/>
    </row>
    <row r="181" ht="15.75" customHeight="1">
      <c r="R181" s="84"/>
      <c r="U181" s="84"/>
    </row>
    <row r="182" ht="15.75" customHeight="1">
      <c r="R182" s="84"/>
      <c r="U182" s="84"/>
    </row>
    <row r="183" ht="15.75" customHeight="1">
      <c r="R183" s="84"/>
      <c r="U183" s="84"/>
    </row>
    <row r="184" ht="15.75" customHeight="1">
      <c r="R184" s="84"/>
      <c r="U184" s="84"/>
    </row>
    <row r="185" ht="15.75" customHeight="1">
      <c r="R185" s="84"/>
      <c r="U185" s="84"/>
    </row>
    <row r="186" ht="15.75" customHeight="1">
      <c r="R186" s="84"/>
      <c r="U186" s="84"/>
    </row>
    <row r="187" ht="15.75" customHeight="1">
      <c r="R187" s="84"/>
      <c r="U187" s="84"/>
    </row>
    <row r="188" ht="15.75" customHeight="1">
      <c r="R188" s="84"/>
      <c r="U188" s="84"/>
    </row>
    <row r="189" ht="15.75" customHeight="1">
      <c r="R189" s="84"/>
      <c r="U189" s="84"/>
    </row>
    <row r="190" ht="15.75" customHeight="1">
      <c r="R190" s="84"/>
      <c r="U190" s="84"/>
    </row>
    <row r="191" ht="15.75" customHeight="1">
      <c r="R191" s="84"/>
      <c r="U191" s="84"/>
    </row>
    <row r="192" ht="15.75" customHeight="1">
      <c r="R192" s="84"/>
      <c r="U192" s="84"/>
    </row>
    <row r="193" ht="15.75" customHeight="1">
      <c r="R193" s="84"/>
      <c r="U193" s="84"/>
    </row>
    <row r="194" ht="15.75" customHeight="1">
      <c r="R194" s="84"/>
      <c r="U194" s="84"/>
    </row>
    <row r="195" ht="15.75" customHeight="1">
      <c r="R195" s="84"/>
      <c r="U195" s="84"/>
    </row>
    <row r="196" ht="15.75" customHeight="1">
      <c r="R196" s="84"/>
      <c r="U196" s="84"/>
    </row>
    <row r="197" ht="15.75" customHeight="1">
      <c r="R197" s="84"/>
      <c r="U197" s="84"/>
    </row>
    <row r="198" ht="15.75" customHeight="1">
      <c r="R198" s="84"/>
      <c r="U198" s="84"/>
    </row>
    <row r="199" ht="15.75" customHeight="1">
      <c r="R199" s="84"/>
      <c r="U199" s="84"/>
    </row>
    <row r="200" ht="15.75" customHeight="1">
      <c r="R200" s="84"/>
      <c r="U200" s="84"/>
    </row>
    <row r="201" ht="15.75" customHeight="1">
      <c r="R201" s="84"/>
      <c r="U201" s="84"/>
    </row>
    <row r="202" ht="15.75" customHeight="1">
      <c r="R202" s="84"/>
      <c r="U202" s="84"/>
    </row>
    <row r="203" ht="15.75" customHeight="1">
      <c r="R203" s="84"/>
      <c r="U203" s="84"/>
    </row>
    <row r="204" ht="15.75" customHeight="1">
      <c r="R204" s="84"/>
      <c r="U204" s="84"/>
    </row>
    <row r="205" ht="15.75" customHeight="1">
      <c r="R205" s="84"/>
      <c r="U205" s="84"/>
    </row>
    <row r="206" ht="15.75" customHeight="1">
      <c r="R206" s="84"/>
      <c r="U206" s="84"/>
    </row>
    <row r="207" ht="15.75" customHeight="1">
      <c r="R207" s="84"/>
      <c r="U207" s="84"/>
    </row>
    <row r="208" ht="15.75" customHeight="1">
      <c r="R208" s="84"/>
      <c r="U208" s="84"/>
    </row>
    <row r="209" ht="15.75" customHeight="1">
      <c r="R209" s="84"/>
      <c r="U209" s="84"/>
    </row>
    <row r="210" ht="15.75" customHeight="1">
      <c r="R210" s="84"/>
      <c r="U210" s="84"/>
    </row>
    <row r="211" ht="15.75" customHeight="1">
      <c r="R211" s="84"/>
      <c r="U211" s="84"/>
    </row>
    <row r="212" ht="15.75" customHeight="1">
      <c r="R212" s="84"/>
      <c r="U212" s="84"/>
    </row>
    <row r="213" ht="15.75" customHeight="1">
      <c r="R213" s="84"/>
      <c r="U213" s="84"/>
    </row>
    <row r="214" ht="15.75" customHeight="1">
      <c r="R214" s="84"/>
      <c r="U214" s="84"/>
    </row>
    <row r="215" ht="15.75" customHeight="1">
      <c r="R215" s="84"/>
      <c r="U215" s="84"/>
    </row>
    <row r="216" ht="15.75" customHeight="1">
      <c r="R216" s="84"/>
      <c r="U216" s="84"/>
    </row>
    <row r="217" ht="15.75" customHeight="1">
      <c r="R217" s="84"/>
      <c r="U217" s="84"/>
    </row>
    <row r="218" ht="15.75" customHeight="1">
      <c r="R218" s="84"/>
      <c r="U218" s="84"/>
    </row>
    <row r="219" ht="15.75" customHeight="1">
      <c r="R219" s="84"/>
      <c r="U219" s="84"/>
    </row>
    <row r="220" ht="15.75" customHeight="1">
      <c r="R220" s="84"/>
      <c r="U220" s="84"/>
    </row>
    <row r="221" ht="15.75" customHeight="1">
      <c r="R221" s="84"/>
      <c r="U221" s="84"/>
    </row>
    <row r="222" ht="15.75" customHeight="1">
      <c r="R222" s="84"/>
      <c r="U222" s="84"/>
    </row>
    <row r="223" ht="15.75" customHeight="1">
      <c r="R223" s="84"/>
      <c r="U223" s="84"/>
    </row>
    <row r="224" ht="15.75" customHeight="1">
      <c r="R224" s="84"/>
      <c r="U224" s="84"/>
    </row>
    <row r="225" ht="15.75" customHeight="1">
      <c r="R225" s="84"/>
      <c r="U225" s="84"/>
    </row>
    <row r="226" ht="15.75" customHeight="1">
      <c r="R226" s="84"/>
      <c r="U226" s="84"/>
    </row>
    <row r="227" ht="15.75" customHeight="1">
      <c r="R227" s="84"/>
      <c r="U227" s="84"/>
    </row>
    <row r="228" ht="15.75" customHeight="1">
      <c r="R228" s="84"/>
      <c r="U228" s="84"/>
    </row>
    <row r="229" ht="15.75" customHeight="1">
      <c r="R229" s="84"/>
      <c r="U229" s="84"/>
    </row>
    <row r="230" ht="15.75" customHeight="1">
      <c r="R230" s="84"/>
      <c r="U230" s="84"/>
    </row>
    <row r="231" ht="15.75" customHeight="1">
      <c r="R231" s="84"/>
      <c r="U231" s="84"/>
    </row>
    <row r="232" ht="15.75" customHeight="1">
      <c r="R232" s="84"/>
      <c r="U232" s="84"/>
    </row>
    <row r="233" ht="15.75" customHeight="1">
      <c r="R233" s="84"/>
      <c r="U233" s="84"/>
    </row>
    <row r="234" ht="15.75" customHeight="1">
      <c r="R234" s="84"/>
      <c r="U234" s="84"/>
    </row>
    <row r="235" ht="15.75" customHeight="1">
      <c r="R235" s="84"/>
      <c r="U235" s="84"/>
    </row>
    <row r="236" ht="15.75" customHeight="1">
      <c r="R236" s="84"/>
      <c r="U236" s="84"/>
    </row>
    <row r="237" ht="15.75" customHeight="1">
      <c r="R237" s="84"/>
      <c r="U237" s="84"/>
    </row>
    <row r="238" ht="15.75" customHeight="1">
      <c r="R238" s="84"/>
      <c r="U238" s="84"/>
    </row>
    <row r="239" ht="15.75" customHeight="1">
      <c r="R239" s="84"/>
      <c r="U239" s="84"/>
    </row>
    <row r="240" ht="15.75" customHeight="1">
      <c r="R240" s="84"/>
      <c r="U240" s="84"/>
    </row>
    <row r="241" ht="15.75" customHeight="1">
      <c r="R241" s="84"/>
      <c r="U241" s="84"/>
    </row>
    <row r="242" ht="15.75" customHeight="1">
      <c r="R242" s="84"/>
      <c r="U242" s="84"/>
    </row>
    <row r="243" ht="15.75" customHeight="1">
      <c r="R243" s="84"/>
      <c r="U243" s="84"/>
    </row>
    <row r="244" ht="15.75" customHeight="1">
      <c r="R244" s="84"/>
      <c r="U244" s="84"/>
    </row>
    <row r="245" ht="15.75" customHeight="1">
      <c r="R245" s="84"/>
      <c r="U245" s="84"/>
    </row>
    <row r="246" ht="15.75" customHeight="1">
      <c r="R246" s="84"/>
      <c r="U246" s="84"/>
    </row>
    <row r="247" ht="15.75" customHeight="1">
      <c r="R247" s="84"/>
      <c r="U247" s="84"/>
    </row>
    <row r="248" ht="15.75" customHeight="1">
      <c r="R248" s="84"/>
      <c r="U248" s="84"/>
    </row>
    <row r="249" ht="15.75" customHeight="1">
      <c r="R249" s="84"/>
      <c r="U249" s="84"/>
    </row>
    <row r="250" ht="15.75" customHeight="1">
      <c r="R250" s="84"/>
      <c r="U250" s="84"/>
    </row>
    <row r="251" ht="15.75" customHeight="1">
      <c r="R251" s="84"/>
      <c r="U251" s="84"/>
    </row>
    <row r="252" ht="15.75" customHeight="1">
      <c r="R252" s="84"/>
      <c r="U252" s="84"/>
    </row>
    <row r="253" ht="15.75" customHeight="1">
      <c r="R253" s="84"/>
      <c r="U253" s="84"/>
    </row>
    <row r="254" ht="15.75" customHeight="1">
      <c r="R254" s="84"/>
      <c r="U254" s="84"/>
    </row>
    <row r="255" ht="15.75" customHeight="1">
      <c r="R255" s="84"/>
      <c r="U255" s="84"/>
    </row>
    <row r="256" ht="15.75" customHeight="1">
      <c r="R256" s="84"/>
      <c r="U256" s="84"/>
    </row>
    <row r="257" ht="15.75" customHeight="1">
      <c r="R257" s="84"/>
      <c r="U257" s="84"/>
    </row>
    <row r="258" ht="15.75" customHeight="1">
      <c r="R258" s="84"/>
      <c r="U258" s="84"/>
    </row>
    <row r="259" ht="15.75" customHeight="1">
      <c r="R259" s="84"/>
      <c r="U259" s="84"/>
    </row>
    <row r="260" ht="15.75" customHeight="1">
      <c r="R260" s="84"/>
      <c r="U260" s="84"/>
    </row>
    <row r="261" ht="15.75" customHeight="1">
      <c r="R261" s="84"/>
      <c r="U261" s="84"/>
    </row>
    <row r="262" ht="15.75" customHeight="1">
      <c r="R262" s="84"/>
      <c r="U262" s="84"/>
    </row>
    <row r="263" ht="15.75" customHeight="1">
      <c r="R263" s="84"/>
      <c r="U263" s="84"/>
    </row>
    <row r="264" ht="15.75" customHeight="1">
      <c r="R264" s="84"/>
      <c r="U264" s="84"/>
    </row>
    <row r="265" ht="15.75" customHeight="1">
      <c r="R265" s="84"/>
      <c r="U265" s="84"/>
    </row>
    <row r="266" ht="15.75" customHeight="1">
      <c r="R266" s="84"/>
      <c r="U266" s="84"/>
    </row>
    <row r="267" ht="15.75" customHeight="1">
      <c r="R267" s="84"/>
      <c r="U267" s="84"/>
    </row>
    <row r="268" ht="15.75" customHeight="1">
      <c r="R268" s="84"/>
      <c r="U268" s="84"/>
    </row>
    <row r="269" ht="15.75" customHeight="1">
      <c r="R269" s="84"/>
      <c r="U269" s="84"/>
    </row>
    <row r="270" ht="15.75" customHeight="1">
      <c r="R270" s="84"/>
      <c r="U270" s="84"/>
    </row>
    <row r="271" ht="15.75" customHeight="1">
      <c r="R271" s="84"/>
      <c r="U271" s="84"/>
    </row>
    <row r="272" ht="15.75" customHeight="1">
      <c r="R272" s="84"/>
      <c r="U272" s="84"/>
    </row>
    <row r="273" ht="15.75" customHeight="1">
      <c r="R273" s="84"/>
      <c r="U273" s="84"/>
    </row>
    <row r="274" ht="15.75" customHeight="1">
      <c r="R274" s="84"/>
      <c r="U274" s="84"/>
    </row>
    <row r="275" ht="15.75" customHeight="1">
      <c r="R275" s="84"/>
      <c r="U275" s="84"/>
    </row>
    <row r="276" ht="15.75" customHeight="1">
      <c r="R276" s="84"/>
      <c r="U276" s="84"/>
    </row>
    <row r="277" ht="15.75" customHeight="1">
      <c r="R277" s="84"/>
      <c r="U277" s="84"/>
    </row>
    <row r="278" ht="15.75" customHeight="1">
      <c r="R278" s="84"/>
      <c r="U278" s="84"/>
    </row>
    <row r="279" ht="15.75" customHeight="1">
      <c r="R279" s="84"/>
      <c r="U279" s="84"/>
    </row>
    <row r="280" ht="15.75" customHeight="1">
      <c r="R280" s="84"/>
      <c r="U280" s="84"/>
    </row>
    <row r="281" ht="15.75" customHeight="1">
      <c r="R281" s="84"/>
      <c r="U281" s="84"/>
    </row>
    <row r="282" ht="15.75" customHeight="1">
      <c r="R282" s="84"/>
      <c r="U282" s="84"/>
    </row>
    <row r="283" ht="15.75" customHeight="1">
      <c r="R283" s="84"/>
      <c r="U283" s="84"/>
    </row>
    <row r="284" ht="15.75" customHeight="1">
      <c r="R284" s="84"/>
      <c r="U284" s="84"/>
    </row>
    <row r="285" ht="15.75" customHeight="1">
      <c r="R285" s="84"/>
      <c r="U285" s="84"/>
    </row>
    <row r="286" ht="15.75" customHeight="1">
      <c r="R286" s="84"/>
      <c r="U286" s="84"/>
    </row>
    <row r="287" ht="15.75" customHeight="1">
      <c r="R287" s="84"/>
      <c r="U287" s="84"/>
    </row>
    <row r="288" ht="15.75" customHeight="1">
      <c r="R288" s="84"/>
      <c r="U288" s="84"/>
    </row>
    <row r="289" ht="15.75" customHeight="1">
      <c r="R289" s="84"/>
      <c r="U289" s="84"/>
    </row>
    <row r="290" ht="15.75" customHeight="1">
      <c r="R290" s="84"/>
      <c r="U290" s="84"/>
    </row>
    <row r="291" ht="15.75" customHeight="1">
      <c r="R291" s="84"/>
      <c r="U291" s="84"/>
    </row>
    <row r="292" ht="15.75" customHeight="1">
      <c r="R292" s="84"/>
      <c r="U292" s="84"/>
    </row>
    <row r="293" ht="15.75" customHeight="1">
      <c r="R293" s="84"/>
      <c r="U293" s="84"/>
    </row>
    <row r="294" ht="15.75" customHeight="1">
      <c r="R294" s="84"/>
      <c r="U294" s="84"/>
    </row>
    <row r="295" ht="15.75" customHeight="1">
      <c r="R295" s="84"/>
      <c r="U295" s="84"/>
    </row>
    <row r="296" ht="15.75" customHeight="1">
      <c r="R296" s="84"/>
      <c r="U296" s="84"/>
    </row>
    <row r="297" ht="15.75" customHeight="1">
      <c r="R297" s="84"/>
      <c r="U297" s="84"/>
    </row>
    <row r="298" ht="15.75" customHeight="1">
      <c r="R298" s="84"/>
      <c r="U298" s="84"/>
    </row>
    <row r="299" ht="15.75" customHeight="1">
      <c r="R299" s="84"/>
      <c r="U299" s="84"/>
    </row>
    <row r="300" ht="15.75" customHeight="1">
      <c r="R300" s="84"/>
      <c r="U300" s="84"/>
    </row>
    <row r="301" ht="15.75" customHeight="1">
      <c r="R301" s="84"/>
      <c r="U301" s="84"/>
    </row>
    <row r="302" ht="15.75" customHeight="1">
      <c r="R302" s="84"/>
      <c r="U302" s="84"/>
    </row>
    <row r="303" ht="15.75" customHeight="1">
      <c r="R303" s="84"/>
      <c r="U303" s="84"/>
    </row>
    <row r="304" ht="15.75" customHeight="1">
      <c r="R304" s="84"/>
      <c r="U304" s="84"/>
    </row>
    <row r="305" ht="15.75" customHeight="1">
      <c r="R305" s="84"/>
      <c r="U305" s="84"/>
    </row>
    <row r="306" ht="15.75" customHeight="1">
      <c r="R306" s="84"/>
      <c r="U306" s="84"/>
    </row>
    <row r="307" ht="15.75" customHeight="1">
      <c r="R307" s="84"/>
      <c r="U307" s="84"/>
    </row>
    <row r="308" ht="15.75" customHeight="1">
      <c r="R308" s="84"/>
      <c r="U308" s="84"/>
    </row>
    <row r="309" ht="15.75" customHeight="1">
      <c r="R309" s="84"/>
      <c r="U309" s="84"/>
    </row>
    <row r="310" ht="15.75" customHeight="1">
      <c r="R310" s="84"/>
      <c r="U310" s="84"/>
    </row>
    <row r="311" ht="15.75" customHeight="1">
      <c r="R311" s="84"/>
      <c r="U311" s="84"/>
    </row>
    <row r="312" ht="15.75" customHeight="1">
      <c r="R312" s="84"/>
      <c r="U312" s="84"/>
    </row>
    <row r="313" ht="15.75" customHeight="1">
      <c r="R313" s="84"/>
      <c r="U313" s="84"/>
    </row>
    <row r="314" ht="15.75" customHeight="1">
      <c r="R314" s="84"/>
      <c r="U314" s="84"/>
    </row>
    <row r="315" ht="15.75" customHeight="1">
      <c r="R315" s="84"/>
      <c r="U315" s="84"/>
    </row>
    <row r="316" ht="15.75" customHeight="1">
      <c r="R316" s="84"/>
      <c r="U316" s="84"/>
    </row>
    <row r="317" ht="15.75" customHeight="1">
      <c r="R317" s="84"/>
      <c r="U317" s="84"/>
    </row>
    <row r="318" ht="15.75" customHeight="1">
      <c r="R318" s="84"/>
      <c r="U318" s="84"/>
    </row>
    <row r="319" ht="15.75" customHeight="1">
      <c r="R319" s="84"/>
      <c r="U319" s="84"/>
    </row>
    <row r="320" ht="15.75" customHeight="1">
      <c r="R320" s="84"/>
      <c r="U320" s="84"/>
    </row>
    <row r="321" ht="15.75" customHeight="1">
      <c r="R321" s="84"/>
      <c r="U321" s="84"/>
    </row>
    <row r="322" ht="15.75" customHeight="1">
      <c r="R322" s="84"/>
      <c r="U322" s="84"/>
    </row>
    <row r="323" ht="15.75" customHeight="1">
      <c r="R323" s="84"/>
      <c r="U323" s="84"/>
    </row>
    <row r="324" ht="15.75" customHeight="1">
      <c r="R324" s="84"/>
      <c r="U324" s="84"/>
    </row>
    <row r="325" ht="15.75" customHeight="1">
      <c r="R325" s="84"/>
      <c r="U325" s="84"/>
    </row>
    <row r="326" ht="15.75" customHeight="1">
      <c r="R326" s="84"/>
      <c r="U326" s="84"/>
    </row>
    <row r="327" ht="15.75" customHeight="1">
      <c r="R327" s="84"/>
      <c r="U327" s="84"/>
    </row>
    <row r="328" ht="15.75" customHeight="1">
      <c r="R328" s="84"/>
      <c r="U328" s="84"/>
    </row>
    <row r="329" ht="15.75" customHeight="1">
      <c r="R329" s="84"/>
      <c r="U329" s="84"/>
    </row>
    <row r="330" ht="15.75" customHeight="1">
      <c r="R330" s="84"/>
      <c r="U330" s="84"/>
    </row>
    <row r="331" ht="15.75" customHeight="1">
      <c r="R331" s="84"/>
      <c r="U331" s="84"/>
    </row>
    <row r="332" ht="15.75" customHeight="1">
      <c r="R332" s="84"/>
      <c r="U332" s="84"/>
    </row>
    <row r="333" ht="15.75" customHeight="1">
      <c r="R333" s="84"/>
      <c r="U333" s="84"/>
    </row>
    <row r="334" ht="15.75" customHeight="1">
      <c r="R334" s="84"/>
      <c r="U334" s="84"/>
    </row>
    <row r="335" ht="15.75" customHeight="1">
      <c r="R335" s="84"/>
      <c r="U335" s="84"/>
    </row>
    <row r="336" ht="15.75" customHeight="1">
      <c r="R336" s="84"/>
      <c r="U336" s="84"/>
    </row>
    <row r="337" ht="15.75" customHeight="1">
      <c r="R337" s="84"/>
      <c r="U337" s="84"/>
    </row>
    <row r="338" ht="15.75" customHeight="1">
      <c r="R338" s="84"/>
      <c r="U338" s="84"/>
    </row>
    <row r="339" ht="15.75" customHeight="1">
      <c r="R339" s="84"/>
      <c r="U339" s="84"/>
    </row>
    <row r="340" ht="15.75" customHeight="1">
      <c r="R340" s="84"/>
      <c r="U340" s="84"/>
    </row>
    <row r="341" ht="15.75" customHeight="1">
      <c r="R341" s="84"/>
      <c r="U341" s="84"/>
    </row>
    <row r="342" ht="15.75" customHeight="1">
      <c r="R342" s="84"/>
      <c r="U342" s="84"/>
    </row>
    <row r="343" ht="15.75" customHeight="1">
      <c r="R343" s="84"/>
      <c r="U343" s="84"/>
    </row>
    <row r="344" ht="15.75" customHeight="1">
      <c r="R344" s="84"/>
      <c r="U344" s="84"/>
    </row>
    <row r="345" ht="15.75" customHeight="1">
      <c r="R345" s="84"/>
      <c r="U345" s="84"/>
    </row>
    <row r="346" ht="15.75" customHeight="1">
      <c r="R346" s="84"/>
      <c r="U346" s="84"/>
    </row>
    <row r="347" ht="15.75" customHeight="1">
      <c r="R347" s="84"/>
      <c r="U347" s="84"/>
    </row>
    <row r="348" ht="15.75" customHeight="1">
      <c r="R348" s="84"/>
      <c r="U348" s="84"/>
    </row>
    <row r="349" ht="15.75" customHeight="1">
      <c r="R349" s="84"/>
      <c r="U349" s="84"/>
    </row>
    <row r="350" ht="15.75" customHeight="1">
      <c r="R350" s="84"/>
      <c r="U350" s="84"/>
    </row>
    <row r="351" ht="15.75" customHeight="1">
      <c r="R351" s="84"/>
      <c r="U351" s="84"/>
    </row>
    <row r="352" ht="15.75" customHeight="1">
      <c r="R352" s="84"/>
      <c r="U352" s="84"/>
    </row>
    <row r="353" ht="15.75" customHeight="1">
      <c r="R353" s="84"/>
      <c r="U353" s="84"/>
    </row>
    <row r="354" ht="15.75" customHeight="1">
      <c r="R354" s="84"/>
      <c r="U354" s="84"/>
    </row>
    <row r="355" ht="15.75" customHeight="1">
      <c r="R355" s="84"/>
      <c r="U355" s="84"/>
    </row>
    <row r="356" ht="15.75" customHeight="1">
      <c r="R356" s="84"/>
      <c r="U356" s="84"/>
    </row>
    <row r="357" ht="15.75" customHeight="1">
      <c r="R357" s="84"/>
      <c r="U357" s="84"/>
    </row>
    <row r="358" ht="15.75" customHeight="1">
      <c r="R358" s="84"/>
      <c r="U358" s="84"/>
    </row>
    <row r="359" ht="15.75" customHeight="1">
      <c r="R359" s="84"/>
      <c r="U359" s="84"/>
    </row>
    <row r="360" ht="15.75" customHeight="1">
      <c r="R360" s="84"/>
      <c r="U360" s="84"/>
    </row>
    <row r="361" ht="15.75" customHeight="1">
      <c r="R361" s="84"/>
      <c r="U361" s="84"/>
    </row>
    <row r="362" ht="15.75" customHeight="1">
      <c r="R362" s="84"/>
      <c r="U362" s="84"/>
    </row>
    <row r="363" ht="15.75" customHeight="1">
      <c r="R363" s="84"/>
      <c r="U363" s="84"/>
    </row>
    <row r="364" ht="15.75" customHeight="1">
      <c r="R364" s="84"/>
      <c r="U364" s="84"/>
    </row>
    <row r="365" ht="15.75" customHeight="1">
      <c r="R365" s="84"/>
      <c r="U365" s="84"/>
    </row>
    <row r="366" ht="15.75" customHeight="1">
      <c r="R366" s="84"/>
      <c r="U366" s="84"/>
    </row>
    <row r="367" ht="15.75" customHeight="1">
      <c r="R367" s="84"/>
      <c r="U367" s="84"/>
    </row>
    <row r="368" ht="15.75" customHeight="1">
      <c r="R368" s="84"/>
      <c r="U368" s="84"/>
    </row>
    <row r="369" ht="15.75" customHeight="1">
      <c r="R369" s="84"/>
      <c r="U369" s="84"/>
    </row>
    <row r="370" ht="15.75" customHeight="1">
      <c r="R370" s="84"/>
      <c r="U370" s="84"/>
    </row>
    <row r="371" ht="15.75" customHeight="1">
      <c r="R371" s="84"/>
      <c r="U371" s="84"/>
    </row>
    <row r="372" ht="15.75" customHeight="1">
      <c r="R372" s="84"/>
      <c r="U372" s="84"/>
    </row>
    <row r="373" ht="15.75" customHeight="1">
      <c r="R373" s="84"/>
      <c r="U373" s="84"/>
    </row>
    <row r="374" ht="15.75" customHeight="1">
      <c r="R374" s="84"/>
      <c r="U374" s="84"/>
    </row>
    <row r="375" ht="15.75" customHeight="1">
      <c r="R375" s="84"/>
      <c r="U375" s="84"/>
    </row>
    <row r="376" ht="15.75" customHeight="1">
      <c r="R376" s="84"/>
      <c r="U376" s="84"/>
    </row>
    <row r="377" ht="15.75" customHeight="1">
      <c r="R377" s="84"/>
      <c r="U377" s="84"/>
    </row>
    <row r="378" ht="15.75" customHeight="1">
      <c r="R378" s="84"/>
      <c r="U378" s="84"/>
    </row>
    <row r="379" ht="15.75" customHeight="1">
      <c r="R379" s="84"/>
      <c r="U379" s="84"/>
    </row>
    <row r="380" ht="15.75" customHeight="1">
      <c r="R380" s="84"/>
      <c r="U380" s="84"/>
    </row>
    <row r="381" ht="15.75" customHeight="1">
      <c r="R381" s="84"/>
      <c r="U381" s="84"/>
    </row>
    <row r="382" ht="15.75" customHeight="1">
      <c r="R382" s="84"/>
      <c r="U382" s="84"/>
    </row>
    <row r="383" ht="15.75" customHeight="1">
      <c r="R383" s="84"/>
      <c r="U383" s="84"/>
    </row>
    <row r="384" ht="15.75" customHeight="1">
      <c r="R384" s="84"/>
      <c r="U384" s="84"/>
    </row>
    <row r="385" ht="15.75" customHeight="1">
      <c r="R385" s="84"/>
      <c r="U385" s="84"/>
    </row>
    <row r="386" ht="15.75" customHeight="1">
      <c r="R386" s="84"/>
      <c r="U386" s="84"/>
    </row>
    <row r="387" ht="15.75" customHeight="1">
      <c r="R387" s="84"/>
      <c r="U387" s="84"/>
    </row>
    <row r="388" ht="15.75" customHeight="1">
      <c r="R388" s="84"/>
      <c r="U388" s="84"/>
    </row>
    <row r="389" ht="15.75" customHeight="1">
      <c r="R389" s="84"/>
      <c r="U389" s="84"/>
    </row>
    <row r="390" ht="15.75" customHeight="1">
      <c r="R390" s="84"/>
      <c r="U390" s="84"/>
    </row>
    <row r="391" ht="15.75" customHeight="1">
      <c r="R391" s="84"/>
      <c r="U391" s="84"/>
    </row>
    <row r="392" ht="15.75" customHeight="1">
      <c r="R392" s="84"/>
      <c r="U392" s="84"/>
    </row>
    <row r="393" ht="15.75" customHeight="1">
      <c r="R393" s="84"/>
      <c r="U393" s="84"/>
    </row>
    <row r="394" ht="15.75" customHeight="1">
      <c r="R394" s="84"/>
      <c r="U394" s="84"/>
    </row>
    <row r="395" ht="15.75" customHeight="1">
      <c r="R395" s="84"/>
      <c r="U395" s="84"/>
    </row>
    <row r="396" ht="15.75" customHeight="1">
      <c r="R396" s="84"/>
      <c r="U396" s="84"/>
    </row>
    <row r="397" ht="15.75" customHeight="1">
      <c r="R397" s="84"/>
      <c r="U397" s="84"/>
    </row>
    <row r="398" ht="15.75" customHeight="1">
      <c r="R398" s="84"/>
      <c r="U398" s="84"/>
    </row>
    <row r="399" ht="15.75" customHeight="1">
      <c r="R399" s="84"/>
      <c r="U399" s="84"/>
    </row>
    <row r="400" ht="15.75" customHeight="1">
      <c r="R400" s="84"/>
      <c r="U400" s="84"/>
    </row>
    <row r="401" ht="15.75" customHeight="1">
      <c r="R401" s="84"/>
      <c r="U401" s="84"/>
    </row>
    <row r="402" ht="15.75" customHeight="1">
      <c r="R402" s="84"/>
      <c r="U402" s="84"/>
    </row>
    <row r="403" ht="15.75" customHeight="1">
      <c r="R403" s="84"/>
      <c r="U403" s="84"/>
    </row>
    <row r="404" ht="15.75" customHeight="1">
      <c r="R404" s="84"/>
      <c r="U404" s="84"/>
    </row>
    <row r="405" ht="15.75" customHeight="1">
      <c r="R405" s="84"/>
      <c r="U405" s="84"/>
    </row>
    <row r="406" ht="15.75" customHeight="1">
      <c r="R406" s="84"/>
      <c r="U406" s="84"/>
    </row>
    <row r="407" ht="15.75" customHeight="1">
      <c r="R407" s="84"/>
      <c r="U407" s="84"/>
    </row>
    <row r="408" ht="15.75" customHeight="1">
      <c r="R408" s="84"/>
      <c r="U408" s="84"/>
    </row>
    <row r="409" ht="15.75" customHeight="1">
      <c r="R409" s="84"/>
      <c r="U409" s="84"/>
    </row>
    <row r="410" ht="15.75" customHeight="1">
      <c r="R410" s="84"/>
      <c r="U410" s="84"/>
    </row>
    <row r="411" ht="15.75" customHeight="1">
      <c r="R411" s="84"/>
      <c r="U411" s="84"/>
    </row>
    <row r="412" ht="15.75" customHeight="1">
      <c r="R412" s="84"/>
      <c r="U412" s="84"/>
    </row>
    <row r="413" ht="15.75" customHeight="1">
      <c r="R413" s="84"/>
      <c r="U413" s="84"/>
    </row>
    <row r="414" ht="15.75" customHeight="1">
      <c r="R414" s="84"/>
      <c r="U414" s="84"/>
    </row>
    <row r="415" ht="15.75" customHeight="1">
      <c r="R415" s="84"/>
      <c r="U415" s="84"/>
    </row>
    <row r="416" ht="15.75" customHeight="1">
      <c r="R416" s="84"/>
      <c r="U416" s="84"/>
    </row>
    <row r="417" ht="15.75" customHeight="1">
      <c r="R417" s="84"/>
      <c r="U417" s="84"/>
    </row>
    <row r="418" ht="15.75" customHeight="1">
      <c r="R418" s="84"/>
      <c r="U418" s="84"/>
    </row>
    <row r="419" ht="15.75" customHeight="1">
      <c r="R419" s="84"/>
      <c r="U419" s="84"/>
    </row>
    <row r="420" ht="15.75" customHeight="1">
      <c r="R420" s="84"/>
      <c r="U420" s="84"/>
    </row>
    <row r="421" ht="15.75" customHeight="1">
      <c r="R421" s="84"/>
      <c r="U421" s="84"/>
    </row>
    <row r="422" ht="15.75" customHeight="1">
      <c r="R422" s="84"/>
      <c r="U422" s="84"/>
    </row>
    <row r="423" ht="15.75" customHeight="1">
      <c r="R423" s="84"/>
      <c r="U423" s="84"/>
    </row>
    <row r="424" ht="15.75" customHeight="1">
      <c r="R424" s="84"/>
      <c r="U424" s="84"/>
    </row>
    <row r="425" ht="15.75" customHeight="1">
      <c r="R425" s="84"/>
      <c r="U425" s="84"/>
    </row>
    <row r="426" ht="15.75" customHeight="1">
      <c r="R426" s="84"/>
      <c r="U426" s="84"/>
    </row>
    <row r="427" ht="15.75" customHeight="1">
      <c r="R427" s="84"/>
      <c r="U427" s="84"/>
    </row>
    <row r="428" ht="15.75" customHeight="1">
      <c r="R428" s="84"/>
      <c r="U428" s="84"/>
    </row>
    <row r="429" ht="15.75" customHeight="1">
      <c r="R429" s="84"/>
      <c r="U429" s="84"/>
    </row>
    <row r="430" ht="15.75" customHeight="1">
      <c r="R430" s="84"/>
      <c r="U430" s="84"/>
    </row>
    <row r="431" ht="15.75" customHeight="1">
      <c r="R431" s="84"/>
      <c r="U431" s="84"/>
    </row>
    <row r="432" ht="15.75" customHeight="1">
      <c r="R432" s="84"/>
      <c r="U432" s="84"/>
    </row>
    <row r="433" ht="15.75" customHeight="1">
      <c r="R433" s="84"/>
      <c r="U433" s="84"/>
    </row>
    <row r="434" ht="15.75" customHeight="1">
      <c r="R434" s="84"/>
      <c r="U434" s="84"/>
    </row>
    <row r="435" ht="15.75" customHeight="1">
      <c r="R435" s="84"/>
      <c r="U435" s="84"/>
    </row>
    <row r="436" ht="15.75" customHeight="1">
      <c r="R436" s="84"/>
      <c r="U436" s="84"/>
    </row>
    <row r="437" ht="15.75" customHeight="1">
      <c r="R437" s="84"/>
      <c r="U437" s="84"/>
    </row>
    <row r="438" ht="15.75" customHeight="1">
      <c r="R438" s="84"/>
      <c r="U438" s="84"/>
    </row>
    <row r="439" ht="15.75" customHeight="1">
      <c r="R439" s="84"/>
      <c r="U439" s="84"/>
    </row>
    <row r="440" ht="15.75" customHeight="1">
      <c r="R440" s="84"/>
      <c r="U440" s="84"/>
    </row>
    <row r="441" ht="15.75" customHeight="1">
      <c r="R441" s="84"/>
      <c r="U441" s="84"/>
    </row>
    <row r="442" ht="15.75" customHeight="1">
      <c r="R442" s="84"/>
      <c r="U442" s="84"/>
    </row>
    <row r="443" ht="15.75" customHeight="1">
      <c r="R443" s="84"/>
      <c r="U443" s="84"/>
    </row>
    <row r="444" ht="15.75" customHeight="1">
      <c r="R444" s="84"/>
      <c r="U444" s="84"/>
    </row>
    <row r="445" ht="15.75" customHeight="1">
      <c r="R445" s="84"/>
      <c r="U445" s="84"/>
    </row>
    <row r="446" ht="15.75" customHeight="1">
      <c r="R446" s="84"/>
      <c r="U446" s="84"/>
    </row>
    <row r="447" ht="15.75" customHeight="1">
      <c r="R447" s="84"/>
      <c r="U447" s="84"/>
    </row>
    <row r="448" ht="15.75" customHeight="1">
      <c r="R448" s="84"/>
      <c r="U448" s="84"/>
    </row>
    <row r="449" ht="15.75" customHeight="1">
      <c r="R449" s="84"/>
      <c r="U449" s="84"/>
    </row>
    <row r="450" ht="15.75" customHeight="1">
      <c r="R450" s="84"/>
      <c r="U450" s="84"/>
    </row>
    <row r="451" ht="15.75" customHeight="1">
      <c r="R451" s="84"/>
      <c r="U451" s="84"/>
    </row>
    <row r="452" ht="15.75" customHeight="1">
      <c r="R452" s="84"/>
      <c r="U452" s="84"/>
    </row>
    <row r="453" ht="15.75" customHeight="1">
      <c r="R453" s="84"/>
      <c r="U453" s="84"/>
    </row>
    <row r="454" ht="15.75" customHeight="1">
      <c r="R454" s="84"/>
      <c r="U454" s="84"/>
    </row>
    <row r="455" ht="15.75" customHeight="1">
      <c r="R455" s="84"/>
      <c r="U455" s="84"/>
    </row>
    <row r="456" ht="15.75" customHeight="1">
      <c r="R456" s="84"/>
      <c r="U456" s="84"/>
    </row>
    <row r="457" ht="15.75" customHeight="1">
      <c r="R457" s="84"/>
      <c r="U457" s="84"/>
    </row>
    <row r="458" ht="15.75" customHeight="1">
      <c r="R458" s="84"/>
      <c r="U458" s="84"/>
    </row>
    <row r="459" ht="15.75" customHeight="1">
      <c r="R459" s="84"/>
      <c r="U459" s="84"/>
    </row>
    <row r="460" ht="15.75" customHeight="1">
      <c r="R460" s="84"/>
      <c r="U460" s="84"/>
    </row>
    <row r="461" ht="15.75" customHeight="1">
      <c r="R461" s="84"/>
      <c r="U461" s="84"/>
    </row>
    <row r="462" ht="15.75" customHeight="1">
      <c r="R462" s="84"/>
      <c r="U462" s="84"/>
    </row>
    <row r="463" ht="15.75" customHeight="1">
      <c r="R463" s="84"/>
      <c r="U463" s="84"/>
    </row>
    <row r="464" ht="15.75" customHeight="1">
      <c r="R464" s="84"/>
      <c r="U464" s="84"/>
    </row>
    <row r="465" ht="15.75" customHeight="1">
      <c r="R465" s="84"/>
      <c r="U465" s="84"/>
    </row>
    <row r="466" ht="15.75" customHeight="1">
      <c r="R466" s="84"/>
      <c r="U466" s="84"/>
    </row>
    <row r="467" ht="15.75" customHeight="1">
      <c r="R467" s="84"/>
      <c r="U467" s="84"/>
    </row>
    <row r="468" ht="15.75" customHeight="1">
      <c r="R468" s="84"/>
      <c r="U468" s="84"/>
    </row>
    <row r="469" ht="15.75" customHeight="1">
      <c r="R469" s="84"/>
      <c r="U469" s="84"/>
    </row>
    <row r="470" ht="15.75" customHeight="1">
      <c r="R470" s="84"/>
      <c r="U470" s="84"/>
    </row>
    <row r="471" ht="15.75" customHeight="1">
      <c r="R471" s="84"/>
      <c r="U471" s="84"/>
    </row>
    <row r="472" ht="15.75" customHeight="1">
      <c r="R472" s="84"/>
      <c r="U472" s="84"/>
    </row>
    <row r="473" ht="15.75" customHeight="1">
      <c r="R473" s="84"/>
      <c r="U473" s="84"/>
    </row>
    <row r="474" ht="15.75" customHeight="1">
      <c r="R474" s="84"/>
      <c r="U474" s="84"/>
    </row>
    <row r="475" ht="15.75" customHeight="1">
      <c r="R475" s="84"/>
      <c r="U475" s="84"/>
    </row>
    <row r="476" ht="15.75" customHeight="1">
      <c r="R476" s="84"/>
      <c r="U476" s="84"/>
    </row>
    <row r="477" ht="15.75" customHeight="1">
      <c r="R477" s="84"/>
      <c r="U477" s="84"/>
    </row>
    <row r="478" ht="15.75" customHeight="1">
      <c r="R478" s="84"/>
      <c r="U478" s="84"/>
    </row>
    <row r="479" ht="15.75" customHeight="1">
      <c r="R479" s="84"/>
      <c r="U479" s="84"/>
    </row>
    <row r="480" ht="15.75" customHeight="1">
      <c r="R480" s="84"/>
      <c r="U480" s="84"/>
    </row>
    <row r="481" ht="15.75" customHeight="1">
      <c r="R481" s="84"/>
      <c r="U481" s="84"/>
    </row>
    <row r="482" ht="15.75" customHeight="1">
      <c r="R482" s="84"/>
      <c r="U482" s="84"/>
    </row>
    <row r="483" ht="15.75" customHeight="1">
      <c r="R483" s="84"/>
      <c r="U483" s="84"/>
    </row>
    <row r="484" ht="15.75" customHeight="1">
      <c r="R484" s="84"/>
      <c r="U484" s="84"/>
    </row>
    <row r="485" ht="15.75" customHeight="1">
      <c r="R485" s="84"/>
      <c r="U485" s="84"/>
    </row>
    <row r="486" ht="15.75" customHeight="1">
      <c r="R486" s="84"/>
      <c r="U486" s="84"/>
    </row>
    <row r="487" ht="15.75" customHeight="1">
      <c r="R487" s="84"/>
      <c r="U487" s="84"/>
    </row>
    <row r="488" ht="15.75" customHeight="1">
      <c r="R488" s="84"/>
      <c r="U488" s="84"/>
    </row>
    <row r="489" ht="15.75" customHeight="1">
      <c r="R489" s="84"/>
      <c r="U489" s="84"/>
    </row>
    <row r="490" ht="15.75" customHeight="1">
      <c r="R490" s="84"/>
      <c r="U490" s="84"/>
    </row>
    <row r="491" ht="15.75" customHeight="1">
      <c r="R491" s="84"/>
      <c r="U491" s="84"/>
    </row>
    <row r="492" ht="15.75" customHeight="1">
      <c r="R492" s="84"/>
      <c r="U492" s="84"/>
    </row>
    <row r="493" ht="15.75" customHeight="1">
      <c r="R493" s="84"/>
      <c r="U493" s="84"/>
    </row>
    <row r="494" ht="15.75" customHeight="1">
      <c r="R494" s="84"/>
      <c r="U494" s="84"/>
    </row>
    <row r="495" ht="15.75" customHeight="1">
      <c r="R495" s="84"/>
      <c r="U495" s="84"/>
    </row>
    <row r="496" ht="15.75" customHeight="1">
      <c r="R496" s="84"/>
      <c r="U496" s="84"/>
    </row>
    <row r="497" ht="15.75" customHeight="1">
      <c r="R497" s="84"/>
      <c r="U497" s="84"/>
    </row>
    <row r="498" ht="15.75" customHeight="1">
      <c r="R498" s="84"/>
      <c r="U498" s="84"/>
    </row>
    <row r="499" ht="15.75" customHeight="1">
      <c r="R499" s="84"/>
      <c r="U499" s="84"/>
    </row>
    <row r="500" ht="15.75" customHeight="1">
      <c r="R500" s="84"/>
      <c r="U500" s="84"/>
    </row>
    <row r="501" ht="15.75" customHeight="1">
      <c r="R501" s="84"/>
      <c r="U501" s="84"/>
    </row>
    <row r="502" ht="15.75" customHeight="1">
      <c r="R502" s="84"/>
      <c r="U502" s="84"/>
    </row>
    <row r="503" ht="15.75" customHeight="1">
      <c r="R503" s="84"/>
      <c r="U503" s="84"/>
    </row>
    <row r="504" ht="15.75" customHeight="1">
      <c r="R504" s="84"/>
      <c r="U504" s="84"/>
    </row>
    <row r="505" ht="15.75" customHeight="1">
      <c r="R505" s="84"/>
      <c r="U505" s="84"/>
    </row>
    <row r="506" ht="15.75" customHeight="1">
      <c r="R506" s="84"/>
      <c r="U506" s="84"/>
    </row>
    <row r="507" ht="15.75" customHeight="1">
      <c r="R507" s="84"/>
      <c r="U507" s="84"/>
    </row>
    <row r="508" ht="15.75" customHeight="1">
      <c r="R508" s="84"/>
      <c r="U508" s="84"/>
    </row>
    <row r="509" ht="15.75" customHeight="1">
      <c r="R509" s="84"/>
      <c r="U509" s="84"/>
    </row>
    <row r="510" ht="15.75" customHeight="1">
      <c r="R510" s="84"/>
      <c r="U510" s="84"/>
    </row>
    <row r="511" ht="15.75" customHeight="1">
      <c r="R511" s="84"/>
      <c r="U511" s="84"/>
    </row>
    <row r="512" ht="15.75" customHeight="1">
      <c r="R512" s="84"/>
      <c r="U512" s="84"/>
    </row>
    <row r="513" ht="15.75" customHeight="1">
      <c r="R513" s="84"/>
      <c r="U513" s="84"/>
    </row>
    <row r="514" ht="15.75" customHeight="1">
      <c r="R514" s="84"/>
      <c r="U514" s="84"/>
    </row>
    <row r="515" ht="15.75" customHeight="1">
      <c r="R515" s="84"/>
      <c r="U515" s="84"/>
    </row>
    <row r="516" ht="15.75" customHeight="1">
      <c r="R516" s="84"/>
      <c r="U516" s="84"/>
    </row>
    <row r="517" ht="15.75" customHeight="1">
      <c r="R517" s="84"/>
      <c r="U517" s="84"/>
    </row>
    <row r="518" ht="15.75" customHeight="1">
      <c r="R518" s="84"/>
      <c r="U518" s="84"/>
    </row>
    <row r="519" ht="15.75" customHeight="1">
      <c r="R519" s="84"/>
      <c r="U519" s="84"/>
    </row>
    <row r="520" ht="15.75" customHeight="1">
      <c r="R520" s="84"/>
      <c r="U520" s="84"/>
    </row>
    <row r="521" ht="15.75" customHeight="1">
      <c r="R521" s="84"/>
      <c r="U521" s="84"/>
    </row>
    <row r="522" ht="15.75" customHeight="1">
      <c r="R522" s="84"/>
      <c r="U522" s="84"/>
    </row>
    <row r="523" ht="15.75" customHeight="1">
      <c r="R523" s="84"/>
      <c r="U523" s="84"/>
    </row>
    <row r="524" ht="15.75" customHeight="1">
      <c r="R524" s="84"/>
      <c r="U524" s="84"/>
    </row>
    <row r="525" ht="15.75" customHeight="1">
      <c r="R525" s="84"/>
      <c r="U525" s="84"/>
    </row>
    <row r="526" ht="15.75" customHeight="1">
      <c r="R526" s="84"/>
      <c r="U526" s="84"/>
    </row>
    <row r="527" ht="15.75" customHeight="1">
      <c r="R527" s="84"/>
      <c r="U527" s="84"/>
    </row>
    <row r="528" ht="15.75" customHeight="1">
      <c r="R528" s="84"/>
      <c r="U528" s="84"/>
    </row>
    <row r="529" ht="15.75" customHeight="1">
      <c r="R529" s="84"/>
      <c r="U529" s="84"/>
    </row>
    <row r="530" ht="15.75" customHeight="1">
      <c r="R530" s="84"/>
      <c r="U530" s="84"/>
    </row>
    <row r="531" ht="15.75" customHeight="1">
      <c r="R531" s="84"/>
      <c r="U531" s="84"/>
    </row>
    <row r="532" ht="15.75" customHeight="1">
      <c r="R532" s="84"/>
      <c r="U532" s="84"/>
    </row>
    <row r="533" ht="15.75" customHeight="1">
      <c r="R533" s="84"/>
      <c r="U533" s="84"/>
    </row>
    <row r="534" ht="15.75" customHeight="1">
      <c r="R534" s="84"/>
      <c r="U534" s="84"/>
    </row>
    <row r="535" ht="15.75" customHeight="1">
      <c r="R535" s="84"/>
      <c r="U535" s="84"/>
    </row>
    <row r="536" ht="15.75" customHeight="1">
      <c r="R536" s="84"/>
      <c r="U536" s="84"/>
    </row>
    <row r="537" ht="15.75" customHeight="1">
      <c r="R537" s="84"/>
      <c r="U537" s="84"/>
    </row>
    <row r="538" ht="15.75" customHeight="1">
      <c r="R538" s="84"/>
      <c r="U538" s="84"/>
    </row>
    <row r="539" ht="15.75" customHeight="1">
      <c r="R539" s="84"/>
      <c r="U539" s="84"/>
    </row>
    <row r="540" ht="15.75" customHeight="1">
      <c r="R540" s="84"/>
      <c r="U540" s="84"/>
    </row>
    <row r="541" ht="15.75" customHeight="1">
      <c r="R541" s="84"/>
      <c r="U541" s="84"/>
    </row>
    <row r="542" ht="15.75" customHeight="1">
      <c r="R542" s="84"/>
      <c r="U542" s="84"/>
    </row>
    <row r="543" ht="15.75" customHeight="1">
      <c r="R543" s="84"/>
      <c r="U543" s="84"/>
    </row>
    <row r="544" ht="15.75" customHeight="1">
      <c r="R544" s="84"/>
      <c r="U544" s="84"/>
    </row>
    <row r="545" ht="15.75" customHeight="1">
      <c r="R545" s="84"/>
      <c r="U545" s="84"/>
    </row>
    <row r="546" ht="15.75" customHeight="1">
      <c r="R546" s="84"/>
      <c r="U546" s="84"/>
    </row>
    <row r="547" ht="15.75" customHeight="1">
      <c r="R547" s="84"/>
      <c r="U547" s="84"/>
    </row>
    <row r="548" ht="15.75" customHeight="1">
      <c r="R548" s="84"/>
      <c r="U548" s="84"/>
    </row>
    <row r="549" ht="15.75" customHeight="1">
      <c r="R549" s="84"/>
      <c r="U549" s="84"/>
    </row>
    <row r="550" ht="15.75" customHeight="1">
      <c r="R550" s="84"/>
      <c r="U550" s="84"/>
    </row>
    <row r="551" ht="15.75" customHeight="1">
      <c r="R551" s="84"/>
      <c r="U551" s="84"/>
    </row>
    <row r="552" ht="15.75" customHeight="1">
      <c r="R552" s="84"/>
      <c r="U552" s="84"/>
    </row>
    <row r="553" ht="15.75" customHeight="1">
      <c r="R553" s="84"/>
      <c r="U553" s="84"/>
    </row>
    <row r="554" ht="15.75" customHeight="1">
      <c r="R554" s="84"/>
      <c r="U554" s="84"/>
    </row>
    <row r="555" ht="15.75" customHeight="1">
      <c r="R555" s="84"/>
      <c r="U555" s="84"/>
    </row>
    <row r="556" ht="15.75" customHeight="1">
      <c r="R556" s="84"/>
      <c r="U556" s="84"/>
    </row>
    <row r="557" ht="15.75" customHeight="1">
      <c r="R557" s="84"/>
      <c r="U557" s="84"/>
    </row>
    <row r="558" ht="15.75" customHeight="1">
      <c r="R558" s="84"/>
      <c r="U558" s="84"/>
    </row>
    <row r="559" ht="15.75" customHeight="1">
      <c r="R559" s="84"/>
      <c r="U559" s="84"/>
    </row>
    <row r="560" ht="15.75" customHeight="1">
      <c r="R560" s="84"/>
      <c r="U560" s="84"/>
    </row>
    <row r="561" ht="15.75" customHeight="1">
      <c r="R561" s="84"/>
      <c r="U561" s="84"/>
    </row>
    <row r="562" ht="15.75" customHeight="1">
      <c r="R562" s="84"/>
      <c r="U562" s="84"/>
    </row>
    <row r="563" ht="15.75" customHeight="1">
      <c r="R563" s="84"/>
      <c r="U563" s="84"/>
    </row>
    <row r="564" ht="15.75" customHeight="1">
      <c r="R564" s="84"/>
      <c r="U564" s="84"/>
    </row>
    <row r="565" ht="15.75" customHeight="1">
      <c r="R565" s="84"/>
      <c r="U565" s="84"/>
    </row>
    <row r="566" ht="15.75" customHeight="1">
      <c r="R566" s="84"/>
      <c r="U566" s="84"/>
    </row>
    <row r="567" ht="15.75" customHeight="1">
      <c r="R567" s="84"/>
      <c r="U567" s="84"/>
    </row>
    <row r="568" ht="15.75" customHeight="1">
      <c r="R568" s="84"/>
      <c r="U568" s="84"/>
    </row>
    <row r="569" ht="15.75" customHeight="1">
      <c r="R569" s="84"/>
      <c r="U569" s="84"/>
    </row>
    <row r="570" ht="15.75" customHeight="1">
      <c r="R570" s="84"/>
      <c r="U570" s="84"/>
    </row>
    <row r="571" ht="15.75" customHeight="1">
      <c r="R571" s="84"/>
      <c r="U571" s="84"/>
    </row>
    <row r="572" ht="15.75" customHeight="1">
      <c r="R572" s="84"/>
      <c r="U572" s="84"/>
    </row>
    <row r="573" ht="15.75" customHeight="1">
      <c r="R573" s="84"/>
      <c r="U573" s="84"/>
    </row>
    <row r="574" ht="15.75" customHeight="1">
      <c r="R574" s="84"/>
      <c r="U574" s="84"/>
    </row>
    <row r="575" ht="15.75" customHeight="1">
      <c r="R575" s="84"/>
      <c r="U575" s="84"/>
    </row>
    <row r="576" ht="15.75" customHeight="1">
      <c r="R576" s="84"/>
      <c r="U576" s="84"/>
    </row>
    <row r="577" ht="15.75" customHeight="1">
      <c r="R577" s="84"/>
      <c r="U577" s="84"/>
    </row>
    <row r="578" ht="15.75" customHeight="1">
      <c r="R578" s="84"/>
      <c r="U578" s="84"/>
    </row>
    <row r="579" ht="15.75" customHeight="1">
      <c r="R579" s="84"/>
      <c r="U579" s="84"/>
    </row>
    <row r="580" ht="15.75" customHeight="1">
      <c r="R580" s="84"/>
      <c r="U580" s="84"/>
    </row>
    <row r="581" ht="15.75" customHeight="1">
      <c r="R581" s="84"/>
      <c r="U581" s="84"/>
    </row>
    <row r="582" ht="15.75" customHeight="1">
      <c r="R582" s="84"/>
      <c r="U582" s="84"/>
    </row>
    <row r="583" ht="15.75" customHeight="1">
      <c r="R583" s="84"/>
      <c r="U583" s="84"/>
    </row>
    <row r="584" ht="15.75" customHeight="1">
      <c r="R584" s="84"/>
      <c r="U584" s="84"/>
    </row>
    <row r="585" ht="15.75" customHeight="1">
      <c r="R585" s="84"/>
      <c r="U585" s="84"/>
    </row>
    <row r="586" ht="15.75" customHeight="1">
      <c r="R586" s="84"/>
      <c r="U586" s="84"/>
    </row>
    <row r="587" ht="15.75" customHeight="1">
      <c r="R587" s="84"/>
      <c r="U587" s="84"/>
    </row>
    <row r="588" ht="15.75" customHeight="1">
      <c r="R588" s="84"/>
      <c r="U588" s="84"/>
    </row>
    <row r="589" ht="15.75" customHeight="1">
      <c r="R589" s="84"/>
      <c r="U589" s="84"/>
    </row>
    <row r="590" ht="15.75" customHeight="1">
      <c r="R590" s="84"/>
      <c r="U590" s="84"/>
    </row>
    <row r="591" ht="15.75" customHeight="1">
      <c r="R591" s="84"/>
      <c r="U591" s="84"/>
    </row>
    <row r="592" ht="15.75" customHeight="1">
      <c r="R592" s="84"/>
      <c r="U592" s="84"/>
    </row>
    <row r="593" ht="15.75" customHeight="1">
      <c r="R593" s="84"/>
      <c r="U593" s="84"/>
    </row>
    <row r="594" ht="15.75" customHeight="1">
      <c r="R594" s="84"/>
      <c r="U594" s="84"/>
    </row>
    <row r="595" ht="15.75" customHeight="1">
      <c r="R595" s="84"/>
      <c r="U595" s="84"/>
    </row>
    <row r="596" ht="15.75" customHeight="1">
      <c r="R596" s="84"/>
      <c r="U596" s="84"/>
    </row>
    <row r="597" ht="15.75" customHeight="1">
      <c r="R597" s="84"/>
      <c r="U597" s="84"/>
    </row>
    <row r="598" ht="15.75" customHeight="1">
      <c r="R598" s="84"/>
      <c r="U598" s="84"/>
    </row>
    <row r="599" ht="15.75" customHeight="1">
      <c r="R599" s="84"/>
      <c r="U599" s="84"/>
    </row>
    <row r="600" ht="15.75" customHeight="1">
      <c r="R600" s="84"/>
      <c r="U600" s="84"/>
    </row>
    <row r="601" ht="15.75" customHeight="1">
      <c r="R601" s="84"/>
      <c r="U601" s="84"/>
    </row>
    <row r="602" ht="15.75" customHeight="1">
      <c r="R602" s="84"/>
      <c r="U602" s="84"/>
    </row>
    <row r="603" ht="15.75" customHeight="1">
      <c r="R603" s="84"/>
      <c r="U603" s="84"/>
    </row>
    <row r="604" ht="15.75" customHeight="1">
      <c r="R604" s="84"/>
      <c r="U604" s="84"/>
    </row>
    <row r="605" ht="15.75" customHeight="1">
      <c r="R605" s="84"/>
      <c r="U605" s="84"/>
    </row>
    <row r="606" ht="15.75" customHeight="1">
      <c r="R606" s="84"/>
      <c r="U606" s="84"/>
    </row>
    <row r="607" ht="15.75" customHeight="1">
      <c r="R607" s="84"/>
      <c r="U607" s="84"/>
    </row>
    <row r="608" ht="15.75" customHeight="1">
      <c r="R608" s="84"/>
      <c r="U608" s="84"/>
    </row>
    <row r="609" ht="15.75" customHeight="1">
      <c r="R609" s="84"/>
      <c r="U609" s="84"/>
    </row>
    <row r="610" ht="15.75" customHeight="1">
      <c r="R610" s="84"/>
      <c r="U610" s="84"/>
    </row>
    <row r="611" ht="15.75" customHeight="1">
      <c r="R611" s="84"/>
      <c r="U611" s="84"/>
    </row>
    <row r="612" ht="15.75" customHeight="1">
      <c r="R612" s="84"/>
      <c r="U612" s="84"/>
    </row>
    <row r="613" ht="15.75" customHeight="1">
      <c r="R613" s="84"/>
      <c r="U613" s="84"/>
    </row>
    <row r="614" ht="15.75" customHeight="1">
      <c r="R614" s="84"/>
      <c r="U614" s="84"/>
    </row>
    <row r="615" ht="15.75" customHeight="1">
      <c r="R615" s="84"/>
      <c r="U615" s="84"/>
    </row>
    <row r="616" ht="15.75" customHeight="1">
      <c r="R616" s="84"/>
      <c r="U616" s="84"/>
    </row>
    <row r="617" ht="15.75" customHeight="1">
      <c r="R617" s="84"/>
      <c r="U617" s="84"/>
    </row>
    <row r="618" ht="15.75" customHeight="1">
      <c r="R618" s="84"/>
      <c r="U618" s="84"/>
    </row>
    <row r="619" ht="15.75" customHeight="1">
      <c r="R619" s="84"/>
      <c r="U619" s="84"/>
    </row>
    <row r="620" ht="15.75" customHeight="1">
      <c r="R620" s="84"/>
      <c r="U620" s="84"/>
    </row>
    <row r="621" ht="15.75" customHeight="1">
      <c r="R621" s="84"/>
      <c r="U621" s="84"/>
    </row>
    <row r="622" ht="15.75" customHeight="1">
      <c r="R622" s="84"/>
      <c r="U622" s="84"/>
    </row>
    <row r="623" ht="15.75" customHeight="1">
      <c r="R623" s="84"/>
      <c r="U623" s="84"/>
    </row>
    <row r="624" ht="15.75" customHeight="1">
      <c r="R624" s="84"/>
      <c r="U624" s="84"/>
    </row>
    <row r="625" ht="15.75" customHeight="1">
      <c r="R625" s="84"/>
      <c r="U625" s="84"/>
    </row>
    <row r="626" ht="15.75" customHeight="1">
      <c r="R626" s="84"/>
      <c r="U626" s="84"/>
    </row>
    <row r="627" ht="15.75" customHeight="1">
      <c r="R627" s="84"/>
      <c r="U627" s="84"/>
    </row>
    <row r="628" ht="15.75" customHeight="1">
      <c r="R628" s="84"/>
      <c r="U628" s="84"/>
    </row>
    <row r="629" ht="15.75" customHeight="1">
      <c r="R629" s="84"/>
      <c r="U629" s="84"/>
    </row>
    <row r="630" ht="15.75" customHeight="1">
      <c r="R630" s="84"/>
      <c r="U630" s="84"/>
    </row>
    <row r="631" ht="15.75" customHeight="1">
      <c r="R631" s="84"/>
      <c r="U631" s="84"/>
    </row>
    <row r="632" ht="15.75" customHeight="1">
      <c r="R632" s="84"/>
      <c r="U632" s="84"/>
    </row>
    <row r="633" ht="15.75" customHeight="1">
      <c r="R633" s="84"/>
      <c r="U633" s="84"/>
    </row>
    <row r="634" ht="15.75" customHeight="1">
      <c r="R634" s="84"/>
      <c r="U634" s="84"/>
    </row>
    <row r="635" ht="15.75" customHeight="1">
      <c r="R635" s="84"/>
      <c r="U635" s="84"/>
    </row>
    <row r="636" ht="15.75" customHeight="1">
      <c r="R636" s="84"/>
      <c r="U636" s="84"/>
    </row>
    <row r="637" ht="15.75" customHeight="1">
      <c r="R637" s="84"/>
      <c r="U637" s="84"/>
    </row>
    <row r="638" ht="15.75" customHeight="1">
      <c r="R638" s="84"/>
      <c r="U638" s="84"/>
    </row>
    <row r="639" ht="15.75" customHeight="1">
      <c r="R639" s="84"/>
      <c r="U639" s="84"/>
    </row>
    <row r="640" ht="15.75" customHeight="1">
      <c r="R640" s="84"/>
      <c r="U640" s="84"/>
    </row>
    <row r="641" ht="15.75" customHeight="1">
      <c r="R641" s="84"/>
      <c r="U641" s="84"/>
    </row>
    <row r="642" ht="15.75" customHeight="1">
      <c r="R642" s="84"/>
      <c r="U642" s="84"/>
    </row>
    <row r="643" ht="15.75" customHeight="1">
      <c r="R643" s="84"/>
      <c r="U643" s="84"/>
    </row>
    <row r="644" ht="15.75" customHeight="1">
      <c r="R644" s="84"/>
      <c r="U644" s="84"/>
    </row>
    <row r="645" ht="15.75" customHeight="1">
      <c r="R645" s="84"/>
      <c r="U645" s="84"/>
    </row>
    <row r="646" ht="15.75" customHeight="1">
      <c r="R646" s="84"/>
      <c r="U646" s="84"/>
    </row>
    <row r="647" ht="15.75" customHeight="1">
      <c r="R647" s="84"/>
      <c r="U647" s="84"/>
    </row>
    <row r="648" ht="15.75" customHeight="1">
      <c r="R648" s="84"/>
      <c r="U648" s="84"/>
    </row>
    <row r="649" ht="15.75" customHeight="1">
      <c r="R649" s="84"/>
      <c r="U649" s="84"/>
    </row>
    <row r="650" ht="15.75" customHeight="1">
      <c r="R650" s="84"/>
      <c r="U650" s="84"/>
    </row>
    <row r="651" ht="15.75" customHeight="1">
      <c r="R651" s="84"/>
      <c r="U651" s="84"/>
    </row>
    <row r="652" ht="15.75" customHeight="1">
      <c r="R652" s="84"/>
      <c r="U652" s="84"/>
    </row>
    <row r="653" ht="15.75" customHeight="1">
      <c r="R653" s="84"/>
      <c r="U653" s="84"/>
    </row>
    <row r="654" ht="15.75" customHeight="1">
      <c r="R654" s="84"/>
      <c r="U654" s="84"/>
    </row>
    <row r="655" ht="15.75" customHeight="1">
      <c r="R655" s="84"/>
      <c r="U655" s="84"/>
    </row>
    <row r="656" ht="15.75" customHeight="1">
      <c r="R656" s="84"/>
      <c r="U656" s="84"/>
    </row>
    <row r="657" ht="15.75" customHeight="1">
      <c r="R657" s="84"/>
      <c r="U657" s="84"/>
    </row>
    <row r="658" ht="15.75" customHeight="1">
      <c r="R658" s="84"/>
      <c r="U658" s="84"/>
    </row>
    <row r="659" ht="15.75" customHeight="1">
      <c r="R659" s="84"/>
      <c r="U659" s="84"/>
    </row>
    <row r="660" ht="15.75" customHeight="1">
      <c r="R660" s="84"/>
      <c r="U660" s="84"/>
    </row>
    <row r="661" ht="15.75" customHeight="1">
      <c r="R661" s="84"/>
      <c r="U661" s="84"/>
    </row>
    <row r="662" ht="15.75" customHeight="1">
      <c r="R662" s="84"/>
      <c r="U662" s="84"/>
    </row>
    <row r="663" ht="15.75" customHeight="1">
      <c r="R663" s="84"/>
      <c r="U663" s="84"/>
    </row>
    <row r="664" ht="15.75" customHeight="1">
      <c r="R664" s="84"/>
      <c r="U664" s="84"/>
    </row>
    <row r="665" ht="15.75" customHeight="1">
      <c r="R665" s="84"/>
      <c r="U665" s="84"/>
    </row>
    <row r="666" ht="15.75" customHeight="1">
      <c r="R666" s="84"/>
      <c r="U666" s="84"/>
    </row>
    <row r="667" ht="15.75" customHeight="1">
      <c r="R667" s="84"/>
      <c r="U667" s="84"/>
    </row>
    <row r="668" ht="15.75" customHeight="1">
      <c r="R668" s="84"/>
      <c r="U668" s="84"/>
    </row>
    <row r="669" ht="15.75" customHeight="1">
      <c r="R669" s="84"/>
      <c r="U669" s="84"/>
    </row>
    <row r="670" ht="15.75" customHeight="1">
      <c r="R670" s="84"/>
      <c r="U670" s="84"/>
    </row>
    <row r="671" ht="15.75" customHeight="1">
      <c r="R671" s="84"/>
      <c r="U671" s="84"/>
    </row>
    <row r="672" ht="15.75" customHeight="1">
      <c r="R672" s="84"/>
      <c r="U672" s="84"/>
    </row>
    <row r="673" ht="15.75" customHeight="1">
      <c r="R673" s="84"/>
      <c r="U673" s="84"/>
    </row>
    <row r="674" ht="15.75" customHeight="1">
      <c r="R674" s="84"/>
      <c r="U674" s="84"/>
    </row>
    <row r="675" ht="15.75" customHeight="1">
      <c r="R675" s="84"/>
      <c r="U675" s="84"/>
    </row>
    <row r="676" ht="15.75" customHeight="1">
      <c r="R676" s="84"/>
      <c r="U676" s="84"/>
    </row>
    <row r="677" ht="15.75" customHeight="1">
      <c r="R677" s="84"/>
      <c r="U677" s="84"/>
    </row>
    <row r="678" ht="15.75" customHeight="1">
      <c r="R678" s="84"/>
      <c r="U678" s="84"/>
    </row>
    <row r="679" ht="15.75" customHeight="1">
      <c r="R679" s="84"/>
      <c r="U679" s="84"/>
    </row>
    <row r="680" ht="15.75" customHeight="1">
      <c r="R680" s="84"/>
      <c r="U680" s="84"/>
    </row>
    <row r="681" ht="15.75" customHeight="1">
      <c r="R681" s="84"/>
      <c r="U681" s="84"/>
    </row>
    <row r="682" ht="15.75" customHeight="1">
      <c r="R682" s="84"/>
      <c r="U682" s="84"/>
    </row>
    <row r="683" ht="15.75" customHeight="1">
      <c r="R683" s="84"/>
      <c r="U683" s="84"/>
    </row>
    <row r="684" ht="15.75" customHeight="1">
      <c r="R684" s="84"/>
      <c r="U684" s="84"/>
    </row>
    <row r="685" ht="15.75" customHeight="1">
      <c r="R685" s="84"/>
      <c r="U685" s="84"/>
    </row>
    <row r="686" ht="15.75" customHeight="1">
      <c r="R686" s="84"/>
      <c r="U686" s="84"/>
    </row>
    <row r="687" ht="15.75" customHeight="1">
      <c r="R687" s="84"/>
      <c r="U687" s="84"/>
    </row>
    <row r="688" ht="15.75" customHeight="1">
      <c r="R688" s="84"/>
      <c r="U688" s="84"/>
    </row>
    <row r="689" ht="15.75" customHeight="1">
      <c r="R689" s="84"/>
      <c r="U689" s="84"/>
    </row>
    <row r="690" ht="15.75" customHeight="1">
      <c r="R690" s="84"/>
      <c r="U690" s="84"/>
    </row>
    <row r="691" ht="15.75" customHeight="1">
      <c r="R691" s="84"/>
      <c r="U691" s="84"/>
    </row>
    <row r="692" ht="15.75" customHeight="1">
      <c r="R692" s="84"/>
      <c r="U692" s="84"/>
    </row>
    <row r="693" ht="15.75" customHeight="1">
      <c r="R693" s="84"/>
      <c r="U693" s="84"/>
    </row>
    <row r="694" ht="15.75" customHeight="1">
      <c r="R694" s="84"/>
      <c r="U694" s="84"/>
    </row>
    <row r="695" ht="15.75" customHeight="1">
      <c r="R695" s="84"/>
      <c r="U695" s="84"/>
    </row>
    <row r="696" ht="15.75" customHeight="1">
      <c r="R696" s="84"/>
      <c r="U696" s="84"/>
    </row>
    <row r="697" ht="15.75" customHeight="1">
      <c r="R697" s="84"/>
      <c r="U697" s="84"/>
    </row>
    <row r="698" ht="15.75" customHeight="1">
      <c r="R698" s="84"/>
      <c r="U698" s="84"/>
    </row>
    <row r="699" ht="15.75" customHeight="1">
      <c r="R699" s="84"/>
      <c r="U699" s="84"/>
    </row>
    <row r="700" ht="15.75" customHeight="1">
      <c r="R700" s="84"/>
      <c r="U700" s="84"/>
    </row>
    <row r="701" ht="15.75" customHeight="1">
      <c r="R701" s="84"/>
      <c r="U701" s="84"/>
    </row>
    <row r="702" ht="15.75" customHeight="1">
      <c r="R702" s="84"/>
      <c r="U702" s="84"/>
    </row>
    <row r="703" ht="15.75" customHeight="1">
      <c r="R703" s="84"/>
      <c r="U703" s="84"/>
    </row>
    <row r="704" ht="15.75" customHeight="1">
      <c r="R704" s="84"/>
      <c r="U704" s="84"/>
    </row>
    <row r="705" ht="15.75" customHeight="1">
      <c r="R705" s="84"/>
      <c r="U705" s="84"/>
    </row>
    <row r="706" ht="15.75" customHeight="1">
      <c r="R706" s="84"/>
      <c r="U706" s="84"/>
    </row>
    <row r="707" ht="15.75" customHeight="1">
      <c r="R707" s="84"/>
      <c r="U707" s="84"/>
    </row>
    <row r="708" ht="15.75" customHeight="1">
      <c r="R708" s="84"/>
      <c r="U708" s="84"/>
    </row>
    <row r="709" ht="15.75" customHeight="1">
      <c r="R709" s="84"/>
      <c r="U709" s="84"/>
    </row>
    <row r="710" ht="15.75" customHeight="1">
      <c r="R710" s="84"/>
      <c r="U710" s="84"/>
    </row>
    <row r="711" ht="15.75" customHeight="1">
      <c r="R711" s="84"/>
      <c r="U711" s="84"/>
    </row>
    <row r="712" ht="15.75" customHeight="1">
      <c r="R712" s="84"/>
      <c r="U712" s="84"/>
    </row>
    <row r="713" ht="15.75" customHeight="1">
      <c r="R713" s="84"/>
      <c r="U713" s="84"/>
    </row>
    <row r="714" ht="15.75" customHeight="1">
      <c r="R714" s="84"/>
      <c r="U714" s="84"/>
    </row>
    <row r="715" ht="15.75" customHeight="1">
      <c r="R715" s="84"/>
      <c r="U715" s="84"/>
    </row>
    <row r="716" ht="15.75" customHeight="1">
      <c r="R716" s="84"/>
      <c r="U716" s="84"/>
    </row>
    <row r="717" ht="15.75" customHeight="1">
      <c r="R717" s="84"/>
      <c r="U717" s="84"/>
    </row>
    <row r="718" ht="15.75" customHeight="1">
      <c r="R718" s="84"/>
      <c r="U718" s="84"/>
    </row>
    <row r="719" ht="15.75" customHeight="1">
      <c r="R719" s="84"/>
      <c r="U719" s="84"/>
    </row>
    <row r="720" ht="15.75" customHeight="1">
      <c r="R720" s="84"/>
      <c r="U720" s="84"/>
    </row>
    <row r="721" ht="15.75" customHeight="1">
      <c r="R721" s="84"/>
      <c r="U721" s="84"/>
    </row>
    <row r="722" ht="15.75" customHeight="1">
      <c r="R722" s="84"/>
      <c r="U722" s="84"/>
    </row>
    <row r="723" ht="15.75" customHeight="1">
      <c r="R723" s="84"/>
      <c r="U723" s="84"/>
    </row>
    <row r="724" ht="15.75" customHeight="1">
      <c r="R724" s="84"/>
      <c r="U724" s="84"/>
    </row>
    <row r="725" ht="15.75" customHeight="1">
      <c r="R725" s="84"/>
      <c r="U725" s="84"/>
    </row>
    <row r="726" ht="15.75" customHeight="1">
      <c r="R726" s="84"/>
      <c r="U726" s="84"/>
    </row>
    <row r="727" ht="15.75" customHeight="1">
      <c r="R727" s="84"/>
      <c r="U727" s="84"/>
    </row>
    <row r="728" ht="15.75" customHeight="1">
      <c r="R728" s="84"/>
      <c r="U728" s="84"/>
    </row>
    <row r="729" ht="15.75" customHeight="1">
      <c r="R729" s="84"/>
      <c r="U729" s="84"/>
    </row>
    <row r="730" ht="15.75" customHeight="1">
      <c r="R730" s="84"/>
      <c r="U730" s="84"/>
    </row>
    <row r="731" ht="15.75" customHeight="1">
      <c r="R731" s="84"/>
      <c r="U731" s="84"/>
    </row>
    <row r="732" ht="15.75" customHeight="1">
      <c r="R732" s="84"/>
      <c r="U732" s="84"/>
    </row>
    <row r="733" ht="15.75" customHeight="1">
      <c r="R733" s="84"/>
      <c r="U733" s="84"/>
    </row>
    <row r="734" ht="15.75" customHeight="1">
      <c r="R734" s="84"/>
      <c r="U734" s="84"/>
    </row>
    <row r="735" ht="15.75" customHeight="1">
      <c r="R735" s="84"/>
      <c r="U735" s="84"/>
    </row>
    <row r="736" ht="15.75" customHeight="1">
      <c r="R736" s="84"/>
      <c r="U736" s="84"/>
    </row>
    <row r="737" ht="15.75" customHeight="1">
      <c r="R737" s="84"/>
      <c r="U737" s="84"/>
    </row>
    <row r="738" ht="15.75" customHeight="1">
      <c r="R738" s="84"/>
      <c r="U738" s="84"/>
    </row>
    <row r="739" ht="15.75" customHeight="1">
      <c r="R739" s="84"/>
      <c r="U739" s="84"/>
    </row>
    <row r="740" ht="15.75" customHeight="1">
      <c r="R740" s="84"/>
      <c r="U740" s="84"/>
    </row>
    <row r="741" ht="15.75" customHeight="1">
      <c r="R741" s="84"/>
      <c r="U741" s="84"/>
    </row>
    <row r="742" ht="15.75" customHeight="1">
      <c r="R742" s="84"/>
      <c r="U742" s="84"/>
    </row>
    <row r="743" ht="15.75" customHeight="1">
      <c r="R743" s="84"/>
      <c r="U743" s="84"/>
    </row>
    <row r="744" ht="15.75" customHeight="1">
      <c r="R744" s="84"/>
      <c r="U744" s="84"/>
    </row>
    <row r="745" ht="15.75" customHeight="1">
      <c r="R745" s="84"/>
      <c r="U745" s="84"/>
    </row>
    <row r="746" ht="15.75" customHeight="1">
      <c r="R746" s="84"/>
      <c r="U746" s="84"/>
    </row>
    <row r="747" ht="15.75" customHeight="1">
      <c r="R747" s="84"/>
      <c r="U747" s="84"/>
    </row>
    <row r="748" ht="15.75" customHeight="1">
      <c r="R748" s="84"/>
      <c r="U748" s="84"/>
    </row>
    <row r="749" ht="15.75" customHeight="1">
      <c r="R749" s="84"/>
      <c r="U749" s="84"/>
    </row>
    <row r="750" ht="15.75" customHeight="1">
      <c r="R750" s="84"/>
      <c r="U750" s="84"/>
    </row>
    <row r="751" ht="15.75" customHeight="1">
      <c r="R751" s="84"/>
      <c r="U751" s="84"/>
    </row>
    <row r="752" ht="15.75" customHeight="1">
      <c r="R752" s="84"/>
      <c r="U752" s="84"/>
    </row>
    <row r="753" ht="15.75" customHeight="1">
      <c r="R753" s="84"/>
      <c r="U753" s="84"/>
    </row>
    <row r="754" ht="15.75" customHeight="1">
      <c r="R754" s="84"/>
      <c r="U754" s="84"/>
    </row>
    <row r="755" ht="15.75" customHeight="1">
      <c r="R755" s="84"/>
      <c r="U755" s="84"/>
    </row>
    <row r="756" ht="15.75" customHeight="1">
      <c r="R756" s="84"/>
      <c r="U756" s="84"/>
    </row>
    <row r="757" ht="15.75" customHeight="1">
      <c r="R757" s="84"/>
      <c r="U757" s="84"/>
    </row>
    <row r="758" ht="15.75" customHeight="1">
      <c r="R758" s="84"/>
      <c r="U758" s="84"/>
    </row>
    <row r="759" ht="15.75" customHeight="1">
      <c r="R759" s="84"/>
      <c r="U759" s="84"/>
    </row>
    <row r="760" ht="15.75" customHeight="1">
      <c r="R760" s="84"/>
      <c r="U760" s="84"/>
    </row>
    <row r="761" ht="15.75" customHeight="1">
      <c r="R761" s="84"/>
      <c r="U761" s="84"/>
    </row>
    <row r="762" ht="15.75" customHeight="1">
      <c r="R762" s="84"/>
      <c r="U762" s="84"/>
    </row>
    <row r="763" ht="15.75" customHeight="1">
      <c r="R763" s="84"/>
      <c r="U763" s="84"/>
    </row>
    <row r="764" ht="15.75" customHeight="1">
      <c r="R764" s="84"/>
      <c r="U764" s="84"/>
    </row>
    <row r="765" ht="15.75" customHeight="1">
      <c r="R765" s="84"/>
      <c r="U765" s="84"/>
    </row>
    <row r="766" ht="15.75" customHeight="1">
      <c r="R766" s="84"/>
      <c r="U766" s="84"/>
    </row>
    <row r="767" ht="15.75" customHeight="1">
      <c r="R767" s="84"/>
      <c r="U767" s="84"/>
    </row>
    <row r="768" ht="15.75" customHeight="1">
      <c r="R768" s="84"/>
      <c r="U768" s="84"/>
    </row>
    <row r="769" ht="15.75" customHeight="1">
      <c r="R769" s="84"/>
      <c r="U769" s="84"/>
    </row>
    <row r="770" ht="15.75" customHeight="1">
      <c r="R770" s="84"/>
      <c r="U770" s="84"/>
    </row>
    <row r="771" ht="15.75" customHeight="1">
      <c r="R771" s="84"/>
      <c r="U771" s="84"/>
    </row>
    <row r="772" ht="15.75" customHeight="1">
      <c r="R772" s="84"/>
      <c r="U772" s="84"/>
    </row>
    <row r="773" ht="15.75" customHeight="1">
      <c r="R773" s="84"/>
      <c r="U773" s="84"/>
    </row>
    <row r="774" ht="15.75" customHeight="1">
      <c r="R774" s="84"/>
      <c r="U774" s="84"/>
    </row>
    <row r="775" ht="15.75" customHeight="1">
      <c r="R775" s="84"/>
      <c r="U775" s="84"/>
    </row>
    <row r="776" ht="15.75" customHeight="1">
      <c r="R776" s="84"/>
      <c r="U776" s="84"/>
    </row>
    <row r="777" ht="15.75" customHeight="1">
      <c r="R777" s="84"/>
      <c r="U777" s="84"/>
    </row>
    <row r="778" ht="15.75" customHeight="1">
      <c r="R778" s="84"/>
      <c r="U778" s="84"/>
    </row>
    <row r="779" ht="15.75" customHeight="1">
      <c r="R779" s="84"/>
      <c r="U779" s="84"/>
    </row>
    <row r="780" ht="15.75" customHeight="1">
      <c r="R780" s="84"/>
      <c r="U780" s="84"/>
    </row>
    <row r="781" ht="15.75" customHeight="1">
      <c r="R781" s="84"/>
      <c r="U781" s="84"/>
    </row>
    <row r="782" ht="15.75" customHeight="1">
      <c r="R782" s="84"/>
      <c r="U782" s="84"/>
    </row>
    <row r="783" ht="15.75" customHeight="1">
      <c r="R783" s="84"/>
      <c r="U783" s="84"/>
    </row>
    <row r="784" ht="15.75" customHeight="1">
      <c r="R784" s="84"/>
      <c r="U784" s="84"/>
    </row>
    <row r="785" ht="15.75" customHeight="1">
      <c r="R785" s="84"/>
      <c r="U785" s="84"/>
    </row>
    <row r="786" ht="15.75" customHeight="1">
      <c r="R786" s="84"/>
      <c r="U786" s="84"/>
    </row>
    <row r="787" ht="15.75" customHeight="1">
      <c r="R787" s="84"/>
      <c r="U787" s="84"/>
    </row>
    <row r="788" ht="15.75" customHeight="1">
      <c r="R788" s="84"/>
      <c r="U788" s="84"/>
    </row>
    <row r="789" ht="15.75" customHeight="1">
      <c r="R789" s="84"/>
      <c r="U789" s="84"/>
    </row>
    <row r="790" ht="15.75" customHeight="1">
      <c r="R790" s="84"/>
      <c r="U790" s="84"/>
    </row>
    <row r="791" ht="15.75" customHeight="1">
      <c r="R791" s="84"/>
      <c r="U791" s="84"/>
    </row>
    <row r="792" ht="15.75" customHeight="1">
      <c r="R792" s="84"/>
      <c r="U792" s="84"/>
    </row>
    <row r="793" ht="15.75" customHeight="1">
      <c r="R793" s="84"/>
      <c r="U793" s="84"/>
    </row>
    <row r="794" ht="15.75" customHeight="1">
      <c r="R794" s="84"/>
      <c r="U794" s="84"/>
    </row>
    <row r="795" ht="15.75" customHeight="1">
      <c r="R795" s="84"/>
      <c r="U795" s="84"/>
    </row>
    <row r="796" ht="15.75" customHeight="1">
      <c r="R796" s="84"/>
      <c r="U796" s="84"/>
    </row>
    <row r="797" ht="15.75" customHeight="1">
      <c r="R797" s="84"/>
      <c r="U797" s="84"/>
    </row>
    <row r="798" ht="15.75" customHeight="1">
      <c r="R798" s="84"/>
      <c r="U798" s="84"/>
    </row>
    <row r="799" ht="15.75" customHeight="1">
      <c r="R799" s="84"/>
      <c r="U799" s="84"/>
    </row>
    <row r="800" ht="15.75" customHeight="1">
      <c r="R800" s="84"/>
      <c r="U800" s="84"/>
    </row>
    <row r="801" ht="15.75" customHeight="1">
      <c r="R801" s="84"/>
      <c r="U801" s="84"/>
    </row>
    <row r="802" ht="15.75" customHeight="1">
      <c r="R802" s="84"/>
      <c r="U802" s="84"/>
    </row>
    <row r="803" ht="15.75" customHeight="1">
      <c r="R803" s="84"/>
      <c r="U803" s="84"/>
    </row>
    <row r="804" ht="15.75" customHeight="1">
      <c r="R804" s="84"/>
      <c r="U804" s="84"/>
    </row>
    <row r="805" ht="15.75" customHeight="1">
      <c r="R805" s="84"/>
      <c r="U805" s="84"/>
    </row>
    <row r="806" ht="15.75" customHeight="1">
      <c r="R806" s="84"/>
      <c r="U806" s="84"/>
    </row>
    <row r="807" ht="15.75" customHeight="1">
      <c r="R807" s="84"/>
      <c r="U807" s="84"/>
    </row>
    <row r="808" ht="15.75" customHeight="1">
      <c r="R808" s="84"/>
      <c r="U808" s="84"/>
    </row>
    <row r="809" ht="15.75" customHeight="1">
      <c r="R809" s="84"/>
      <c r="U809" s="84"/>
    </row>
    <row r="810" ht="15.75" customHeight="1">
      <c r="R810" s="84"/>
      <c r="U810" s="84"/>
    </row>
    <row r="811" ht="15.75" customHeight="1">
      <c r="R811" s="84"/>
      <c r="U811" s="84"/>
    </row>
    <row r="812" ht="15.75" customHeight="1">
      <c r="R812" s="84"/>
      <c r="U812" s="84"/>
    </row>
    <row r="813" ht="15.75" customHeight="1">
      <c r="R813" s="84"/>
      <c r="U813" s="84"/>
    </row>
    <row r="814" ht="15.75" customHeight="1">
      <c r="R814" s="84"/>
      <c r="U814" s="84"/>
    </row>
    <row r="815" ht="15.75" customHeight="1">
      <c r="R815" s="84"/>
      <c r="U815" s="84"/>
    </row>
    <row r="816" ht="15.75" customHeight="1">
      <c r="R816" s="84"/>
      <c r="U816" s="84"/>
    </row>
    <row r="817" ht="15.75" customHeight="1">
      <c r="R817" s="84"/>
      <c r="U817" s="84"/>
    </row>
    <row r="818" ht="15.75" customHeight="1">
      <c r="R818" s="84"/>
      <c r="U818" s="84"/>
    </row>
    <row r="819" ht="15.75" customHeight="1">
      <c r="R819" s="84"/>
      <c r="U819" s="84"/>
    </row>
    <row r="820" ht="15.75" customHeight="1">
      <c r="R820" s="84"/>
      <c r="U820" s="84"/>
    </row>
    <row r="821" ht="15.75" customHeight="1">
      <c r="R821" s="84"/>
      <c r="U821" s="84"/>
    </row>
    <row r="822" ht="15.75" customHeight="1">
      <c r="R822" s="84"/>
      <c r="U822" s="84"/>
    </row>
    <row r="823" ht="15.75" customHeight="1">
      <c r="R823" s="84"/>
      <c r="U823" s="84"/>
    </row>
    <row r="824" ht="15.75" customHeight="1">
      <c r="R824" s="84"/>
      <c r="U824" s="84"/>
    </row>
    <row r="825" ht="15.75" customHeight="1">
      <c r="R825" s="84"/>
      <c r="U825" s="84"/>
    </row>
    <row r="826" ht="15.75" customHeight="1">
      <c r="R826" s="84"/>
      <c r="U826" s="84"/>
    </row>
    <row r="827" ht="15.75" customHeight="1">
      <c r="R827" s="84"/>
      <c r="U827" s="84"/>
    </row>
    <row r="828" ht="15.75" customHeight="1">
      <c r="R828" s="84"/>
      <c r="U828" s="84"/>
    </row>
    <row r="829" ht="15.75" customHeight="1">
      <c r="R829" s="84"/>
      <c r="U829" s="84"/>
    </row>
    <row r="830" ht="15.75" customHeight="1">
      <c r="R830" s="84"/>
      <c r="U830" s="84"/>
    </row>
    <row r="831" ht="15.75" customHeight="1">
      <c r="R831" s="84"/>
      <c r="U831" s="84"/>
    </row>
    <row r="832" ht="15.75" customHeight="1">
      <c r="R832" s="84"/>
      <c r="U832" s="84"/>
    </row>
    <row r="833" ht="15.75" customHeight="1">
      <c r="R833" s="84"/>
      <c r="U833" s="84"/>
    </row>
    <row r="834" ht="15.75" customHeight="1">
      <c r="R834" s="84"/>
      <c r="U834" s="84"/>
    </row>
    <row r="835" ht="15.75" customHeight="1">
      <c r="R835" s="84"/>
      <c r="U835" s="84"/>
    </row>
    <row r="836" ht="15.75" customHeight="1">
      <c r="R836" s="84"/>
      <c r="U836" s="84"/>
    </row>
    <row r="837" ht="15.75" customHeight="1">
      <c r="R837" s="84"/>
      <c r="U837" s="84"/>
    </row>
    <row r="838" ht="15.75" customHeight="1">
      <c r="R838" s="84"/>
      <c r="U838" s="84"/>
    </row>
    <row r="839" ht="15.75" customHeight="1">
      <c r="R839" s="84"/>
      <c r="U839" s="84"/>
    </row>
    <row r="840" ht="15.75" customHeight="1">
      <c r="R840" s="84"/>
      <c r="U840" s="84"/>
    </row>
    <row r="841" ht="15.75" customHeight="1">
      <c r="R841" s="84"/>
      <c r="U841" s="84"/>
    </row>
    <row r="842" ht="15.75" customHeight="1">
      <c r="R842" s="84"/>
      <c r="U842" s="84"/>
    </row>
    <row r="843" ht="15.75" customHeight="1">
      <c r="R843" s="84"/>
      <c r="U843" s="84"/>
    </row>
    <row r="844" ht="15.75" customHeight="1">
      <c r="R844" s="84"/>
      <c r="U844" s="84"/>
    </row>
    <row r="845" ht="15.75" customHeight="1">
      <c r="R845" s="84"/>
      <c r="U845" s="84"/>
    </row>
    <row r="846" ht="15.75" customHeight="1">
      <c r="R846" s="84"/>
      <c r="U846" s="84"/>
    </row>
    <row r="847" ht="15.75" customHeight="1">
      <c r="R847" s="84"/>
      <c r="U847" s="84"/>
    </row>
    <row r="848" ht="15.75" customHeight="1">
      <c r="R848" s="84"/>
      <c r="U848" s="84"/>
    </row>
    <row r="849" ht="15.75" customHeight="1">
      <c r="R849" s="84"/>
      <c r="U849" s="84"/>
    </row>
    <row r="850" ht="15.75" customHeight="1">
      <c r="R850" s="84"/>
      <c r="U850" s="84"/>
    </row>
    <row r="851" ht="15.75" customHeight="1">
      <c r="R851" s="84"/>
      <c r="U851" s="84"/>
    </row>
    <row r="852" ht="15.75" customHeight="1">
      <c r="R852" s="84"/>
      <c r="U852" s="84"/>
    </row>
    <row r="853" ht="15.75" customHeight="1">
      <c r="R853" s="84"/>
      <c r="U853" s="84"/>
    </row>
    <row r="854" ht="15.75" customHeight="1">
      <c r="R854" s="84"/>
      <c r="U854" s="84"/>
    </row>
    <row r="855" ht="15.75" customHeight="1">
      <c r="R855" s="84"/>
      <c r="U855" s="84"/>
    </row>
    <row r="856" ht="15.75" customHeight="1">
      <c r="R856" s="84"/>
      <c r="U856" s="84"/>
    </row>
    <row r="857" ht="15.75" customHeight="1">
      <c r="R857" s="84"/>
      <c r="U857" s="84"/>
    </row>
    <row r="858" ht="15.75" customHeight="1">
      <c r="R858" s="84"/>
      <c r="U858" s="84"/>
    </row>
    <row r="859" ht="15.75" customHeight="1">
      <c r="R859" s="84"/>
      <c r="U859" s="84"/>
    </row>
    <row r="860" ht="15.75" customHeight="1">
      <c r="R860" s="84"/>
      <c r="U860" s="84"/>
    </row>
    <row r="861" ht="15.75" customHeight="1">
      <c r="R861" s="84"/>
      <c r="U861" s="84"/>
    </row>
    <row r="862" ht="15.75" customHeight="1">
      <c r="R862" s="84"/>
      <c r="U862" s="84"/>
    </row>
    <row r="863" ht="15.75" customHeight="1">
      <c r="R863" s="84"/>
      <c r="U863" s="84"/>
    </row>
    <row r="864" ht="15.75" customHeight="1">
      <c r="R864" s="84"/>
      <c r="U864" s="84"/>
    </row>
    <row r="865" ht="15.75" customHeight="1">
      <c r="R865" s="84"/>
      <c r="U865" s="84"/>
    </row>
    <row r="866" ht="15.75" customHeight="1">
      <c r="R866" s="84"/>
      <c r="U866" s="84"/>
    </row>
    <row r="867" ht="15.75" customHeight="1">
      <c r="R867" s="84"/>
      <c r="U867" s="84"/>
    </row>
    <row r="868" ht="15.75" customHeight="1">
      <c r="R868" s="84"/>
      <c r="U868" s="84"/>
    </row>
    <row r="869" ht="15.75" customHeight="1">
      <c r="R869" s="84"/>
      <c r="U869" s="84"/>
    </row>
    <row r="870" ht="15.75" customHeight="1">
      <c r="R870" s="84"/>
      <c r="U870" s="84"/>
    </row>
    <row r="871" ht="15.75" customHeight="1">
      <c r="R871" s="84"/>
      <c r="U871" s="84"/>
    </row>
    <row r="872" ht="15.75" customHeight="1">
      <c r="R872" s="84"/>
      <c r="U872" s="84"/>
    </row>
    <row r="873" ht="15.75" customHeight="1">
      <c r="R873" s="84"/>
      <c r="U873" s="84"/>
    </row>
    <row r="874" ht="15.75" customHeight="1">
      <c r="R874" s="84"/>
      <c r="U874" s="84"/>
    </row>
    <row r="875" ht="15.75" customHeight="1">
      <c r="R875" s="84"/>
      <c r="U875" s="84"/>
    </row>
    <row r="876" ht="15.75" customHeight="1">
      <c r="R876" s="84"/>
      <c r="U876" s="84"/>
    </row>
    <row r="877" ht="15.75" customHeight="1">
      <c r="R877" s="84"/>
      <c r="U877" s="84"/>
    </row>
    <row r="878" ht="15.75" customHeight="1">
      <c r="R878" s="84"/>
      <c r="U878" s="84"/>
    </row>
    <row r="879" ht="15.75" customHeight="1">
      <c r="R879" s="84"/>
      <c r="U879" s="84"/>
    </row>
    <row r="880" ht="15.75" customHeight="1">
      <c r="R880" s="84"/>
      <c r="U880" s="84"/>
    </row>
    <row r="881" ht="15.75" customHeight="1">
      <c r="R881" s="84"/>
      <c r="U881" s="84"/>
    </row>
    <row r="882" ht="15.75" customHeight="1">
      <c r="R882" s="84"/>
      <c r="U882" s="84"/>
    </row>
    <row r="883" ht="15.75" customHeight="1">
      <c r="R883" s="84"/>
      <c r="U883" s="84"/>
    </row>
    <row r="884" ht="15.75" customHeight="1">
      <c r="R884" s="84"/>
      <c r="U884" s="84"/>
    </row>
    <row r="885" ht="15.75" customHeight="1">
      <c r="R885" s="84"/>
      <c r="U885" s="84"/>
    </row>
    <row r="886" ht="15.75" customHeight="1">
      <c r="R886" s="84"/>
      <c r="U886" s="84"/>
    </row>
    <row r="887" ht="15.75" customHeight="1">
      <c r="R887" s="84"/>
      <c r="U887" s="84"/>
    </row>
    <row r="888" ht="15.75" customHeight="1">
      <c r="R888" s="84"/>
      <c r="U888" s="84"/>
    </row>
    <row r="889" ht="15.75" customHeight="1">
      <c r="R889" s="84"/>
      <c r="U889" s="84"/>
    </row>
    <row r="890" ht="15.75" customHeight="1">
      <c r="R890" s="84"/>
      <c r="U890" s="84"/>
    </row>
    <row r="891" ht="15.75" customHeight="1">
      <c r="R891" s="84"/>
      <c r="U891" s="84"/>
    </row>
    <row r="892" ht="15.75" customHeight="1">
      <c r="R892" s="84"/>
      <c r="U892" s="84"/>
    </row>
    <row r="893" ht="15.75" customHeight="1">
      <c r="R893" s="84"/>
      <c r="U893" s="84"/>
    </row>
    <row r="894" ht="15.75" customHeight="1">
      <c r="R894" s="84"/>
      <c r="U894" s="84"/>
    </row>
    <row r="895" ht="15.75" customHeight="1">
      <c r="R895" s="84"/>
      <c r="U895" s="84"/>
    </row>
    <row r="896" ht="15.75" customHeight="1">
      <c r="R896" s="84"/>
      <c r="U896" s="84"/>
    </row>
    <row r="897" ht="15.75" customHeight="1">
      <c r="R897" s="84"/>
      <c r="U897" s="84"/>
    </row>
    <row r="898" ht="15.75" customHeight="1">
      <c r="R898" s="84"/>
      <c r="U898" s="84"/>
    </row>
    <row r="899" ht="15.75" customHeight="1">
      <c r="R899" s="84"/>
      <c r="U899" s="84"/>
    </row>
    <row r="900" ht="15.75" customHeight="1">
      <c r="R900" s="84"/>
      <c r="U900" s="84"/>
    </row>
    <row r="901" ht="15.75" customHeight="1">
      <c r="R901" s="84"/>
      <c r="U901" s="84"/>
    </row>
    <row r="902" ht="15.75" customHeight="1">
      <c r="R902" s="84"/>
      <c r="U902" s="84"/>
    </row>
    <row r="903" ht="15.75" customHeight="1">
      <c r="R903" s="84"/>
      <c r="U903" s="84"/>
    </row>
    <row r="904" ht="15.75" customHeight="1">
      <c r="R904" s="84"/>
      <c r="U904" s="84"/>
    </row>
    <row r="905" ht="15.75" customHeight="1">
      <c r="R905" s="84"/>
      <c r="U905" s="84"/>
    </row>
    <row r="906" ht="15.75" customHeight="1">
      <c r="R906" s="84"/>
      <c r="U906" s="84"/>
    </row>
    <row r="907" ht="15.75" customHeight="1">
      <c r="R907" s="84"/>
      <c r="U907" s="84"/>
    </row>
    <row r="908" ht="15.75" customHeight="1">
      <c r="R908" s="84"/>
      <c r="U908" s="84"/>
    </row>
    <row r="909" ht="15.75" customHeight="1">
      <c r="R909" s="84"/>
      <c r="U909" s="84"/>
    </row>
    <row r="910" ht="15.75" customHeight="1">
      <c r="R910" s="84"/>
      <c r="U910" s="84"/>
    </row>
    <row r="911" ht="15.75" customHeight="1">
      <c r="R911" s="84"/>
      <c r="U911" s="84"/>
    </row>
    <row r="912" ht="15.75" customHeight="1">
      <c r="R912" s="84"/>
      <c r="U912" s="84"/>
    </row>
    <row r="913" ht="15.75" customHeight="1">
      <c r="R913" s="84"/>
      <c r="U913" s="84"/>
    </row>
    <row r="914" ht="15.75" customHeight="1">
      <c r="R914" s="84"/>
      <c r="U914" s="84"/>
    </row>
    <row r="915" ht="15.75" customHeight="1">
      <c r="R915" s="84"/>
      <c r="U915" s="84"/>
    </row>
    <row r="916" ht="15.75" customHeight="1">
      <c r="R916" s="84"/>
      <c r="U916" s="84"/>
    </row>
    <row r="917" ht="15.75" customHeight="1">
      <c r="R917" s="84"/>
      <c r="U917" s="84"/>
    </row>
    <row r="918" ht="15.75" customHeight="1">
      <c r="R918" s="84"/>
      <c r="U918" s="84"/>
    </row>
    <row r="919" ht="15.75" customHeight="1">
      <c r="R919" s="84"/>
      <c r="U919" s="84"/>
    </row>
    <row r="920" ht="15.75" customHeight="1">
      <c r="R920" s="84"/>
      <c r="U920" s="84"/>
    </row>
    <row r="921" ht="15.75" customHeight="1">
      <c r="R921" s="84"/>
      <c r="U921" s="84"/>
    </row>
    <row r="922" ht="15.75" customHeight="1">
      <c r="R922" s="84"/>
      <c r="U922" s="84"/>
    </row>
    <row r="923" ht="15.75" customHeight="1">
      <c r="R923" s="84"/>
      <c r="U923" s="84"/>
    </row>
    <row r="924" ht="15.75" customHeight="1">
      <c r="R924" s="84"/>
      <c r="U924" s="84"/>
    </row>
    <row r="925" ht="15.75" customHeight="1">
      <c r="R925" s="84"/>
      <c r="U925" s="84"/>
    </row>
    <row r="926" ht="15.75" customHeight="1">
      <c r="R926" s="84"/>
      <c r="U926" s="84"/>
    </row>
    <row r="927" ht="15.75" customHeight="1">
      <c r="R927" s="84"/>
      <c r="U927" s="84"/>
    </row>
    <row r="928" ht="15.75" customHeight="1">
      <c r="R928" s="84"/>
      <c r="U928" s="84"/>
    </row>
    <row r="929" ht="15.75" customHeight="1">
      <c r="R929" s="84"/>
      <c r="U929" s="84"/>
    </row>
    <row r="930" ht="15.75" customHeight="1">
      <c r="R930" s="84"/>
      <c r="U930" s="84"/>
    </row>
    <row r="931" ht="15.75" customHeight="1">
      <c r="R931" s="84"/>
      <c r="U931" s="84"/>
    </row>
    <row r="932" ht="15.75" customHeight="1">
      <c r="R932" s="84"/>
      <c r="U932" s="84"/>
    </row>
    <row r="933" ht="15.75" customHeight="1">
      <c r="R933" s="84"/>
      <c r="U933" s="84"/>
    </row>
    <row r="934" ht="15.75" customHeight="1">
      <c r="R934" s="84"/>
      <c r="U934" s="84"/>
    </row>
    <row r="935" ht="15.75" customHeight="1">
      <c r="R935" s="84"/>
      <c r="U935" s="84"/>
    </row>
    <row r="936" ht="15.75" customHeight="1">
      <c r="R936" s="84"/>
      <c r="U936" s="84"/>
    </row>
    <row r="937" ht="15.75" customHeight="1">
      <c r="R937" s="84"/>
      <c r="U937" s="84"/>
    </row>
    <row r="938" ht="15.75" customHeight="1">
      <c r="R938" s="84"/>
      <c r="U938" s="84"/>
    </row>
    <row r="939" ht="15.75" customHeight="1">
      <c r="R939" s="84"/>
      <c r="U939" s="84"/>
    </row>
    <row r="940" ht="15.75" customHeight="1">
      <c r="R940" s="84"/>
      <c r="U940" s="84"/>
    </row>
    <row r="941" ht="15.75" customHeight="1">
      <c r="R941" s="84"/>
      <c r="U941" s="84"/>
    </row>
    <row r="942" ht="15.75" customHeight="1">
      <c r="R942" s="84"/>
      <c r="U942" s="84"/>
    </row>
    <row r="943" ht="15.75" customHeight="1">
      <c r="R943" s="84"/>
      <c r="U943" s="84"/>
    </row>
    <row r="944" ht="15.75" customHeight="1">
      <c r="R944" s="84"/>
      <c r="U944" s="84"/>
    </row>
    <row r="945" ht="15.75" customHeight="1">
      <c r="R945" s="84"/>
      <c r="U945" s="84"/>
    </row>
    <row r="946" ht="15.75" customHeight="1">
      <c r="R946" s="84"/>
      <c r="U946" s="84"/>
    </row>
    <row r="947" ht="15.75" customHeight="1">
      <c r="R947" s="84"/>
      <c r="U947" s="84"/>
    </row>
    <row r="948" ht="15.75" customHeight="1">
      <c r="R948" s="84"/>
      <c r="U948" s="84"/>
    </row>
    <row r="949" ht="15.75" customHeight="1">
      <c r="R949" s="84"/>
      <c r="U949" s="84"/>
    </row>
    <row r="950" ht="15.75" customHeight="1">
      <c r="R950" s="84"/>
      <c r="U950" s="84"/>
    </row>
    <row r="951" ht="15.75" customHeight="1">
      <c r="R951" s="84"/>
      <c r="U951" s="84"/>
    </row>
    <row r="952" ht="15.75" customHeight="1">
      <c r="R952" s="84"/>
      <c r="U952" s="84"/>
    </row>
    <row r="953" ht="15.75" customHeight="1">
      <c r="R953" s="84"/>
      <c r="U953" s="84"/>
    </row>
    <row r="954" ht="15.75" customHeight="1">
      <c r="R954" s="84"/>
      <c r="U954" s="84"/>
    </row>
    <row r="955" ht="15.75" customHeight="1">
      <c r="R955" s="84"/>
      <c r="U955" s="84"/>
    </row>
    <row r="956" ht="15.75" customHeight="1">
      <c r="R956" s="84"/>
      <c r="U956" s="84"/>
    </row>
    <row r="957" ht="15.75" customHeight="1">
      <c r="R957" s="84"/>
      <c r="U957" s="84"/>
    </row>
    <row r="958" ht="15.75" customHeight="1">
      <c r="R958" s="84"/>
      <c r="U958" s="84"/>
    </row>
    <row r="959" ht="15.75" customHeight="1">
      <c r="R959" s="84"/>
      <c r="U959" s="84"/>
    </row>
    <row r="960" ht="15.75" customHeight="1">
      <c r="R960" s="84"/>
      <c r="U960" s="84"/>
    </row>
    <row r="961" ht="15.75" customHeight="1">
      <c r="R961" s="84"/>
      <c r="U961" s="84"/>
    </row>
    <row r="962" ht="15.75" customHeight="1">
      <c r="R962" s="84"/>
      <c r="U962" s="84"/>
    </row>
    <row r="963" ht="15.75" customHeight="1">
      <c r="R963" s="84"/>
      <c r="U963" s="84"/>
    </row>
    <row r="964" ht="15.75" customHeight="1">
      <c r="R964" s="84"/>
      <c r="U964" s="84"/>
    </row>
    <row r="965" ht="15.75" customHeight="1">
      <c r="R965" s="84"/>
      <c r="U965" s="84"/>
    </row>
    <row r="966" ht="15.75" customHeight="1">
      <c r="R966" s="84"/>
      <c r="U966" s="84"/>
    </row>
    <row r="967" ht="15.75" customHeight="1">
      <c r="R967" s="84"/>
      <c r="U967" s="84"/>
    </row>
    <row r="968" ht="15.75" customHeight="1">
      <c r="R968" s="84"/>
      <c r="U968" s="84"/>
    </row>
    <row r="969" ht="15.75" customHeight="1">
      <c r="R969" s="84"/>
      <c r="U969" s="84"/>
    </row>
    <row r="970" ht="15.75" customHeight="1">
      <c r="R970" s="84"/>
      <c r="U970" s="84"/>
    </row>
    <row r="971" ht="15.75" customHeight="1">
      <c r="R971" s="84"/>
      <c r="U971" s="84"/>
    </row>
    <row r="972" ht="15.75" customHeight="1">
      <c r="R972" s="84"/>
      <c r="U972" s="84"/>
    </row>
    <row r="973" ht="15.75" customHeight="1">
      <c r="R973" s="84"/>
      <c r="U973" s="84"/>
    </row>
    <row r="974" ht="15.75" customHeight="1">
      <c r="R974" s="84"/>
      <c r="U974" s="84"/>
    </row>
    <row r="975" ht="15.75" customHeight="1">
      <c r="R975" s="84"/>
      <c r="U975" s="84"/>
    </row>
    <row r="976" ht="15.75" customHeight="1">
      <c r="R976" s="84"/>
      <c r="U976" s="84"/>
    </row>
    <row r="977" ht="15.75" customHeight="1">
      <c r="R977" s="84"/>
      <c r="U977" s="84"/>
    </row>
    <row r="978" ht="15.75" customHeight="1">
      <c r="R978" s="84"/>
      <c r="U978" s="84"/>
    </row>
    <row r="979" ht="15.75" customHeight="1">
      <c r="R979" s="84"/>
      <c r="U979" s="84"/>
    </row>
    <row r="980" ht="15.75" customHeight="1">
      <c r="R980" s="84"/>
      <c r="U980" s="84"/>
    </row>
    <row r="981" ht="15.75" customHeight="1">
      <c r="R981" s="84"/>
      <c r="U981" s="84"/>
    </row>
    <row r="982" ht="15.75" customHeight="1">
      <c r="R982" s="84"/>
      <c r="U982" s="84"/>
    </row>
    <row r="983" ht="15.75" customHeight="1">
      <c r="R983" s="84"/>
      <c r="U983" s="84"/>
    </row>
    <row r="984" ht="15.75" customHeight="1">
      <c r="R984" s="84"/>
      <c r="U984" s="84"/>
    </row>
    <row r="985" ht="15.75" customHeight="1">
      <c r="R985" s="84"/>
      <c r="U985" s="84"/>
    </row>
    <row r="986" ht="15.75" customHeight="1">
      <c r="R986" s="84"/>
      <c r="U986" s="84"/>
    </row>
    <row r="987" ht="15.75" customHeight="1">
      <c r="R987" s="84"/>
      <c r="U987" s="84"/>
    </row>
    <row r="988" ht="15.75" customHeight="1">
      <c r="R988" s="84"/>
      <c r="U988" s="84"/>
    </row>
    <row r="989" ht="15.75" customHeight="1">
      <c r="R989" s="84"/>
      <c r="U989" s="84"/>
    </row>
    <row r="990" ht="15.75" customHeight="1">
      <c r="R990" s="84"/>
      <c r="U990" s="84"/>
    </row>
    <row r="991" ht="15.75" customHeight="1">
      <c r="R991" s="84"/>
      <c r="U991" s="84"/>
    </row>
    <row r="992" ht="15.75" customHeight="1">
      <c r="R992" s="84"/>
      <c r="U992" s="84"/>
    </row>
    <row r="993" ht="15.75" customHeight="1">
      <c r="R993" s="84"/>
      <c r="U993" s="84"/>
    </row>
    <row r="994" ht="15.75" customHeight="1">
      <c r="R994" s="84"/>
      <c r="U994" s="84"/>
    </row>
    <row r="995" ht="15.75" customHeight="1">
      <c r="R995" s="84"/>
      <c r="U995" s="84"/>
    </row>
    <row r="996" ht="15.75" customHeight="1">
      <c r="R996" s="84"/>
      <c r="U996" s="84"/>
    </row>
    <row r="997" ht="15.75" customHeight="1">
      <c r="R997" s="84"/>
      <c r="U997" s="84"/>
    </row>
    <row r="998" ht="15.75" customHeight="1">
      <c r="R998" s="84"/>
      <c r="U998" s="84"/>
    </row>
    <row r="999" ht="15.75" customHeight="1">
      <c r="R999" s="84"/>
      <c r="U999" s="84"/>
    </row>
    <row r="1000" ht="15.75" customHeight="1">
      <c r="R1000" s="84"/>
      <c r="U1000" s="84"/>
    </row>
    <row r="1001" ht="15.75" customHeight="1">
      <c r="R1001" s="84"/>
      <c r="U1001" s="84"/>
    </row>
    <row r="1002" ht="15.75" customHeight="1">
      <c r="R1002" s="84"/>
      <c r="U1002" s="84"/>
    </row>
  </sheetData>
  <mergeCells count="16">
    <mergeCell ref="S3:T3"/>
    <mergeCell ref="V3:W3"/>
    <mergeCell ref="Y3:Z3"/>
    <mergeCell ref="AB3:AC3"/>
    <mergeCell ref="AH3:AI3"/>
    <mergeCell ref="AK3:AL3"/>
    <mergeCell ref="AN3:AO3"/>
    <mergeCell ref="A23:B23"/>
    <mergeCell ref="A24:B24"/>
    <mergeCell ref="A1:H1"/>
    <mergeCell ref="J1:N1"/>
    <mergeCell ref="D3:E3"/>
    <mergeCell ref="G3:H3"/>
    <mergeCell ref="J3:K3"/>
    <mergeCell ref="M3:N3"/>
    <mergeCell ref="P3:Q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11.57"/>
    <col customWidth="1" min="3" max="3" width="18.43"/>
    <col customWidth="1" min="4" max="4" width="12.71"/>
    <col customWidth="1" min="5" max="5" width="20.57"/>
    <col customWidth="1" min="6" max="7" width="18.14"/>
    <col customWidth="1" min="8" max="12" width="15.71"/>
    <col customWidth="1" min="13" max="14" width="17.14"/>
    <col customWidth="1" min="15" max="15" width="11.14"/>
    <col customWidth="1" min="16" max="16" width="20.71"/>
  </cols>
  <sheetData>
    <row r="1" ht="28.5" customHeight="1">
      <c r="A1" s="85" t="str">
        <f>'Gross Pat. Count'!A1</f>
        <v>HOOVER</v>
      </c>
      <c r="B1" s="86"/>
      <c r="C1" s="86"/>
      <c r="D1" s="86"/>
      <c r="E1" s="87"/>
      <c r="F1" s="87"/>
      <c r="G1" s="87"/>
      <c r="H1" s="88"/>
      <c r="I1" s="89"/>
      <c r="J1" s="89"/>
      <c r="K1" s="89" t="s">
        <v>19</v>
      </c>
      <c r="L1" s="90"/>
      <c r="M1" s="90"/>
      <c r="N1" s="90"/>
      <c r="O1" s="88"/>
      <c r="P1" s="91"/>
    </row>
    <row r="2" ht="21.75" customHeight="1">
      <c r="A2" s="92"/>
      <c r="B2" s="93"/>
      <c r="C2" s="94" t="s">
        <v>20</v>
      </c>
      <c r="D2" s="94" t="s">
        <v>21</v>
      </c>
      <c r="E2" s="94" t="s">
        <v>22</v>
      </c>
      <c r="F2" s="95"/>
      <c r="G2" s="95" t="s">
        <v>23</v>
      </c>
      <c r="H2" s="96" t="s">
        <v>24</v>
      </c>
      <c r="I2" s="97"/>
      <c r="J2" s="97" t="s">
        <v>25</v>
      </c>
      <c r="K2" s="94" t="s">
        <v>26</v>
      </c>
      <c r="L2" s="94" t="s">
        <v>27</v>
      </c>
      <c r="M2" s="94"/>
      <c r="N2" s="94" t="s">
        <v>28</v>
      </c>
      <c r="O2" s="94" t="s">
        <v>29</v>
      </c>
      <c r="P2" s="98" t="s">
        <v>30</v>
      </c>
    </row>
    <row r="3" ht="30.75" customHeight="1">
      <c r="A3" s="99"/>
      <c r="B3" s="100" t="s">
        <v>31</v>
      </c>
      <c r="C3" s="101">
        <v>0.0</v>
      </c>
      <c r="D3" s="102">
        <f t="shared" ref="D3:E3" si="1">SUM(D4:D21)</f>
        <v>1345.5</v>
      </c>
      <c r="E3" s="101">
        <f t="shared" si="1"/>
        <v>5625</v>
      </c>
      <c r="F3" s="101"/>
      <c r="G3" s="101">
        <f t="shared" ref="G3:H3" si="2">SUM(G4:G21)</f>
        <v>10565</v>
      </c>
      <c r="H3" s="101">
        <f t="shared" si="2"/>
        <v>34550</v>
      </c>
      <c r="I3" s="102"/>
      <c r="J3" s="102">
        <f t="shared" ref="J3:L3" si="3">SUM(J4:J21)</f>
        <v>0</v>
      </c>
      <c r="K3" s="102">
        <f t="shared" si="3"/>
        <v>0</v>
      </c>
      <c r="L3" s="102">
        <f t="shared" si="3"/>
        <v>0</v>
      </c>
      <c r="M3" s="102"/>
      <c r="N3" s="102">
        <f t="shared" ref="N3:P3" si="4">SUM(N4:N21)</f>
        <v>0</v>
      </c>
      <c r="O3" s="102">
        <f t="shared" si="4"/>
        <v>0</v>
      </c>
      <c r="P3" s="103">
        <f t="shared" si="4"/>
        <v>57332.43</v>
      </c>
    </row>
    <row r="4" ht="24.75" customHeight="1">
      <c r="A4" s="104">
        <v>45871.0</v>
      </c>
      <c r="B4" s="105" t="s">
        <v>9</v>
      </c>
      <c r="C4" s="106">
        <v>459.75</v>
      </c>
      <c r="D4" s="106">
        <v>0.0</v>
      </c>
      <c r="E4" s="106">
        <v>500.0</v>
      </c>
      <c r="F4" s="106"/>
      <c r="G4" s="106">
        <v>1100.0</v>
      </c>
      <c r="H4" s="106">
        <v>2750.0</v>
      </c>
      <c r="I4" s="107"/>
      <c r="J4" s="107">
        <v>0.0</v>
      </c>
      <c r="K4" s="107">
        <v>0.0</v>
      </c>
      <c r="L4" s="107">
        <v>0.0</v>
      </c>
      <c r="M4" s="107"/>
      <c r="N4" s="107">
        <v>0.0</v>
      </c>
      <c r="O4" s="107">
        <v>0.0</v>
      </c>
      <c r="P4" s="108">
        <f t="shared" ref="P4:P21" si="5">C4+D4+E4+G4+H4+K4+L4+N4+O4</f>
        <v>4809.75</v>
      </c>
    </row>
    <row r="5" ht="24.75" customHeight="1">
      <c r="A5" s="104">
        <v>45875.0</v>
      </c>
      <c r="B5" s="109" t="s">
        <v>9</v>
      </c>
      <c r="C5" s="110">
        <v>259.85</v>
      </c>
      <c r="D5" s="110">
        <v>69.0</v>
      </c>
      <c r="E5" s="110">
        <v>300.0</v>
      </c>
      <c r="F5" s="110"/>
      <c r="G5" s="110">
        <v>1200.0</v>
      </c>
      <c r="H5" s="110">
        <v>1400.0</v>
      </c>
      <c r="I5" s="111"/>
      <c r="J5" s="111">
        <v>0.0</v>
      </c>
      <c r="K5" s="111">
        <v>0.0</v>
      </c>
      <c r="L5" s="111">
        <v>0.0</v>
      </c>
      <c r="M5" s="111"/>
      <c r="N5" s="111">
        <v>0.0</v>
      </c>
      <c r="O5" s="111">
        <v>0.0</v>
      </c>
      <c r="P5" s="112">
        <f t="shared" si="5"/>
        <v>3228.85</v>
      </c>
    </row>
    <row r="6" ht="22.5" customHeight="1">
      <c r="A6" s="104">
        <v>45876.0</v>
      </c>
      <c r="B6" s="113" t="s">
        <v>9</v>
      </c>
      <c r="C6" s="106">
        <v>239.85</v>
      </c>
      <c r="D6" s="106">
        <v>69.0</v>
      </c>
      <c r="E6" s="106">
        <v>600.0</v>
      </c>
      <c r="F6" s="106"/>
      <c r="G6" s="106">
        <v>650.0</v>
      </c>
      <c r="H6" s="106">
        <v>3300.0</v>
      </c>
      <c r="I6" s="107"/>
      <c r="J6" s="107">
        <v>0.0</v>
      </c>
      <c r="K6" s="107">
        <v>0.0</v>
      </c>
      <c r="L6" s="107">
        <v>0.0</v>
      </c>
      <c r="M6" s="107"/>
      <c r="N6" s="107">
        <v>0.0</v>
      </c>
      <c r="O6" s="107">
        <v>0.0</v>
      </c>
      <c r="P6" s="108">
        <f t="shared" si="5"/>
        <v>4858.85</v>
      </c>
    </row>
    <row r="7" ht="22.5" customHeight="1">
      <c r="A7" s="104">
        <v>45878.0</v>
      </c>
      <c r="B7" s="109" t="s">
        <v>9</v>
      </c>
      <c r="C7" s="110">
        <v>259.85</v>
      </c>
      <c r="D7" s="110">
        <v>0.0</v>
      </c>
      <c r="E7" s="110">
        <v>200.0</v>
      </c>
      <c r="F7" s="110"/>
      <c r="G7" s="110">
        <v>400.0</v>
      </c>
      <c r="H7" s="110">
        <v>1500.0</v>
      </c>
      <c r="I7" s="111"/>
      <c r="J7" s="111">
        <v>0.0</v>
      </c>
      <c r="K7" s="111">
        <v>0.0</v>
      </c>
      <c r="L7" s="111">
        <v>0.0</v>
      </c>
      <c r="M7" s="111"/>
      <c r="N7" s="111">
        <v>0.0</v>
      </c>
      <c r="O7" s="111">
        <v>0.0</v>
      </c>
      <c r="P7" s="112">
        <f t="shared" si="5"/>
        <v>2359.85</v>
      </c>
    </row>
    <row r="8" ht="22.5" customHeight="1">
      <c r="A8" s="104">
        <v>45882.0</v>
      </c>
      <c r="B8" s="113" t="s">
        <v>9</v>
      </c>
      <c r="C8" s="106">
        <v>239.85</v>
      </c>
      <c r="D8" s="106">
        <v>276.0</v>
      </c>
      <c r="E8" s="106">
        <v>475.0</v>
      </c>
      <c r="F8" s="106"/>
      <c r="G8" s="106">
        <v>600.0</v>
      </c>
      <c r="H8" s="106">
        <v>3225.0</v>
      </c>
      <c r="I8" s="107"/>
      <c r="J8" s="107">
        <v>0.0</v>
      </c>
      <c r="K8" s="107">
        <v>0.0</v>
      </c>
      <c r="L8" s="107">
        <v>0.0</v>
      </c>
      <c r="M8" s="107"/>
      <c r="N8" s="107">
        <v>0.0</v>
      </c>
      <c r="O8" s="107">
        <v>0.0</v>
      </c>
      <c r="P8" s="108">
        <f t="shared" si="5"/>
        <v>4815.85</v>
      </c>
    </row>
    <row r="9" ht="22.5" customHeight="1">
      <c r="A9" s="104">
        <v>45883.0</v>
      </c>
      <c r="B9" s="109" t="s">
        <v>9</v>
      </c>
      <c r="C9" s="110">
        <v>259.85</v>
      </c>
      <c r="D9" s="110">
        <v>103.5</v>
      </c>
      <c r="E9" s="110">
        <v>300.0</v>
      </c>
      <c r="F9" s="110"/>
      <c r="G9" s="110">
        <v>450.0</v>
      </c>
      <c r="H9" s="110">
        <v>1800.0</v>
      </c>
      <c r="I9" s="111"/>
      <c r="J9" s="111">
        <v>0.0</v>
      </c>
      <c r="K9" s="111">
        <v>0.0</v>
      </c>
      <c r="L9" s="111">
        <v>0.0</v>
      </c>
      <c r="M9" s="111"/>
      <c r="N9" s="111">
        <v>0.0</v>
      </c>
      <c r="O9" s="111">
        <v>0.0</v>
      </c>
      <c r="P9" s="112">
        <f t="shared" si="5"/>
        <v>2913.35</v>
      </c>
    </row>
    <row r="10" ht="22.5" customHeight="1">
      <c r="A10" s="104">
        <v>45885.0</v>
      </c>
      <c r="B10" s="113" t="s">
        <v>9</v>
      </c>
      <c r="C10" s="106">
        <v>439.75</v>
      </c>
      <c r="D10" s="106">
        <v>69.0</v>
      </c>
      <c r="E10" s="106">
        <v>400.0</v>
      </c>
      <c r="F10" s="106"/>
      <c r="G10" s="106">
        <v>300.0</v>
      </c>
      <c r="H10" s="106">
        <v>3150.0</v>
      </c>
      <c r="I10" s="107"/>
      <c r="J10" s="107">
        <v>0.0</v>
      </c>
      <c r="K10" s="107">
        <v>0.0</v>
      </c>
      <c r="L10" s="107">
        <v>0.0</v>
      </c>
      <c r="M10" s="107"/>
      <c r="N10" s="107">
        <v>0.0</v>
      </c>
      <c r="O10" s="107">
        <v>0.0</v>
      </c>
      <c r="P10" s="108">
        <f t="shared" si="5"/>
        <v>4358.75</v>
      </c>
    </row>
    <row r="11" ht="22.5" customHeight="1">
      <c r="A11" s="104">
        <v>45889.0</v>
      </c>
      <c r="B11" s="109" t="s">
        <v>9</v>
      </c>
      <c r="C11" s="110">
        <v>399.75</v>
      </c>
      <c r="D11" s="110">
        <v>138.0</v>
      </c>
      <c r="E11" s="110">
        <v>400.0</v>
      </c>
      <c r="F11" s="110"/>
      <c r="G11" s="110">
        <v>950.0</v>
      </c>
      <c r="H11" s="110">
        <v>3400.0</v>
      </c>
      <c r="I11" s="111"/>
      <c r="J11" s="111">
        <v>0.0</v>
      </c>
      <c r="K11" s="111">
        <v>0.0</v>
      </c>
      <c r="L11" s="111">
        <v>0.0</v>
      </c>
      <c r="M11" s="111"/>
      <c r="N11" s="111">
        <v>0.0</v>
      </c>
      <c r="O11" s="111">
        <v>0.0</v>
      </c>
      <c r="P11" s="112">
        <f t="shared" si="5"/>
        <v>5287.75</v>
      </c>
    </row>
    <row r="12" ht="22.5" customHeight="1">
      <c r="A12" s="104">
        <v>45890.0</v>
      </c>
      <c r="B12" s="113" t="s">
        <v>9</v>
      </c>
      <c r="C12" s="106">
        <v>279.85</v>
      </c>
      <c r="D12" s="106">
        <v>138.0</v>
      </c>
      <c r="E12" s="106">
        <v>300.0</v>
      </c>
      <c r="F12" s="106"/>
      <c r="G12" s="106">
        <v>900.0</v>
      </c>
      <c r="H12" s="106">
        <v>1450.0</v>
      </c>
      <c r="I12" s="107"/>
      <c r="J12" s="107">
        <v>0.0</v>
      </c>
      <c r="K12" s="107">
        <v>0.0</v>
      </c>
      <c r="L12" s="107">
        <v>0.0</v>
      </c>
      <c r="M12" s="107"/>
      <c r="N12" s="107">
        <v>0.0</v>
      </c>
      <c r="O12" s="107">
        <v>0.0</v>
      </c>
      <c r="P12" s="108">
        <f t="shared" si="5"/>
        <v>3067.85</v>
      </c>
    </row>
    <row r="13" ht="22.5" customHeight="1">
      <c r="A13" s="104">
        <v>45892.0</v>
      </c>
      <c r="B13" s="109" t="s">
        <v>9</v>
      </c>
      <c r="C13" s="110">
        <v>1139.35</v>
      </c>
      <c r="D13" s="110">
        <v>207.0</v>
      </c>
      <c r="E13" s="110">
        <v>650.0</v>
      </c>
      <c r="F13" s="110"/>
      <c r="G13" s="110">
        <v>950.0</v>
      </c>
      <c r="H13" s="110">
        <v>3300.0</v>
      </c>
      <c r="I13" s="111"/>
      <c r="J13" s="111">
        <v>0.0</v>
      </c>
      <c r="K13" s="111">
        <v>0.0</v>
      </c>
      <c r="L13" s="111">
        <v>0.0</v>
      </c>
      <c r="M13" s="111"/>
      <c r="N13" s="111">
        <v>0.0</v>
      </c>
      <c r="O13" s="111">
        <v>0.0</v>
      </c>
      <c r="P13" s="112">
        <f t="shared" si="5"/>
        <v>6246.35</v>
      </c>
    </row>
    <row r="14" ht="22.5" customHeight="1">
      <c r="A14" s="104">
        <v>45896.0</v>
      </c>
      <c r="B14" s="113" t="s">
        <v>9</v>
      </c>
      <c r="C14" s="106">
        <v>229.85</v>
      </c>
      <c r="D14" s="106">
        <v>138.0</v>
      </c>
      <c r="E14" s="106">
        <v>500.0</v>
      </c>
      <c r="F14" s="106"/>
      <c r="G14" s="106">
        <v>1475.0</v>
      </c>
      <c r="H14" s="106">
        <v>1775.0</v>
      </c>
      <c r="I14" s="107"/>
      <c r="J14" s="107">
        <v>0.0</v>
      </c>
      <c r="K14" s="107">
        <v>0.0</v>
      </c>
      <c r="L14" s="107">
        <v>0.0</v>
      </c>
      <c r="M14" s="107"/>
      <c r="N14" s="107">
        <v>0.0</v>
      </c>
      <c r="O14" s="107">
        <v>0.0</v>
      </c>
      <c r="P14" s="108">
        <f t="shared" si="5"/>
        <v>4117.85</v>
      </c>
    </row>
    <row r="15" ht="22.5" customHeight="1">
      <c r="A15" s="104">
        <v>45897.0</v>
      </c>
      <c r="B15" s="114" t="s">
        <v>9</v>
      </c>
      <c r="C15" s="110">
        <v>299.83</v>
      </c>
      <c r="D15" s="110">
        <v>69.0</v>
      </c>
      <c r="E15" s="110">
        <v>500.0</v>
      </c>
      <c r="F15" s="110"/>
      <c r="G15" s="110">
        <v>900.0</v>
      </c>
      <c r="H15" s="110">
        <v>3250.0</v>
      </c>
      <c r="I15" s="111"/>
      <c r="J15" s="111">
        <v>0.0</v>
      </c>
      <c r="K15" s="111">
        <v>0.0</v>
      </c>
      <c r="L15" s="111">
        <v>0.0</v>
      </c>
      <c r="M15" s="111"/>
      <c r="N15" s="111">
        <v>0.0</v>
      </c>
      <c r="O15" s="111">
        <v>0.0</v>
      </c>
      <c r="P15" s="112">
        <f t="shared" si="5"/>
        <v>5018.83</v>
      </c>
    </row>
    <row r="16" ht="22.5" customHeight="1">
      <c r="A16" s="104">
        <v>45899.0</v>
      </c>
      <c r="B16" s="105" t="s">
        <v>9</v>
      </c>
      <c r="C16" s="106">
        <v>739.55</v>
      </c>
      <c r="D16" s="106">
        <v>69.0</v>
      </c>
      <c r="E16" s="106">
        <v>500.0</v>
      </c>
      <c r="F16" s="106"/>
      <c r="G16" s="106">
        <v>690.0</v>
      </c>
      <c r="H16" s="106">
        <v>4250.0</v>
      </c>
      <c r="I16" s="107"/>
      <c r="J16" s="107">
        <v>0.0</v>
      </c>
      <c r="K16" s="107">
        <v>0.0</v>
      </c>
      <c r="L16" s="107">
        <v>0.0</v>
      </c>
      <c r="M16" s="107"/>
      <c r="N16" s="107">
        <v>0.0</v>
      </c>
      <c r="O16" s="107">
        <v>0.0</v>
      </c>
      <c r="P16" s="108">
        <f t="shared" si="5"/>
        <v>6248.55</v>
      </c>
    </row>
    <row r="17" ht="22.5" customHeight="1">
      <c r="A17" s="115" t="str">
        <f>'Gross Pat. Count'!A18</f>
        <v/>
      </c>
      <c r="B17" s="114" t="s">
        <v>9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>
        <f t="shared" si="5"/>
        <v>0</v>
      </c>
    </row>
    <row r="18" ht="22.5" customHeight="1">
      <c r="A18" s="116" t="str">
        <f>'Gross Pat. Count'!A19</f>
        <v/>
      </c>
      <c r="B18" s="105" t="s">
        <v>9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>
        <f t="shared" si="5"/>
        <v>0</v>
      </c>
    </row>
    <row r="19" ht="22.5" customHeight="1">
      <c r="A19" s="117" t="str">
        <f>'Gross Pat. Count'!A20</f>
        <v/>
      </c>
      <c r="B19" s="114" t="s">
        <v>9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2">
        <f t="shared" si="5"/>
        <v>0</v>
      </c>
    </row>
    <row r="20" ht="22.5" customHeight="1">
      <c r="A20" s="118" t="str">
        <f>'Gross Pat. Count'!A21</f>
        <v/>
      </c>
      <c r="B20" s="105" t="s">
        <v>9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8">
        <f t="shared" si="5"/>
        <v>0</v>
      </c>
    </row>
    <row r="21" ht="22.5" customHeight="1">
      <c r="A21" s="119" t="str">
        <f>'Gross Pat. Count'!A22</f>
        <v/>
      </c>
      <c r="B21" s="114" t="s">
        <v>9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2">
        <f t="shared" si="5"/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K1:N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0.43"/>
    <col customWidth="1" min="2" max="2" width="34.14"/>
    <col customWidth="1" min="3" max="3" width="18.14"/>
    <col customWidth="1" min="4" max="5" width="18.43"/>
    <col customWidth="1" min="6" max="6" width="17.86"/>
    <col customWidth="1" min="7" max="7" width="19.86"/>
    <col customWidth="1" min="8" max="8" width="20.43"/>
    <col customWidth="1" min="9" max="9" width="18.14"/>
  </cols>
  <sheetData>
    <row r="1" ht="60.0" customHeight="1">
      <c r="A1" s="120" t="s">
        <v>32</v>
      </c>
      <c r="B1" s="121"/>
      <c r="C1" s="122"/>
      <c r="D1" s="121"/>
      <c r="E1" s="123" t="s">
        <v>19</v>
      </c>
      <c r="F1" s="2"/>
      <c r="G1" s="2"/>
      <c r="H1" s="121"/>
      <c r="I1" s="121"/>
    </row>
    <row r="2" ht="60.0" customHeight="1">
      <c r="A2" s="124" t="s">
        <v>33</v>
      </c>
      <c r="B2" s="125" t="s">
        <v>34</v>
      </c>
      <c r="C2" s="124" t="s">
        <v>35</v>
      </c>
      <c r="D2" s="125" t="s">
        <v>36</v>
      </c>
      <c r="E2" s="125" t="s">
        <v>37</v>
      </c>
      <c r="F2" s="125" t="s">
        <v>38</v>
      </c>
      <c r="G2" s="124" t="s">
        <v>39</v>
      </c>
      <c r="H2" s="125" t="s">
        <v>40</v>
      </c>
      <c r="I2" s="125" t="s">
        <v>41</v>
      </c>
    </row>
    <row r="3" ht="18.0" customHeight="1">
      <c r="A3" s="126" t="str">
        <f>'Gross Pat. Count'!$A$1</f>
        <v>HOOVER</v>
      </c>
      <c r="B3" s="127">
        <v>45871.0</v>
      </c>
      <c r="C3" s="128">
        <v>350.0</v>
      </c>
      <c r="D3" s="128">
        <v>0.0</v>
      </c>
      <c r="E3" s="128">
        <v>350.0</v>
      </c>
      <c r="F3" s="129">
        <f t="shared" ref="F3:F16" si="1">SUM(D3+E3)</f>
        <v>350</v>
      </c>
      <c r="G3" s="128">
        <v>4459.75</v>
      </c>
      <c r="H3" s="129">
        <f t="shared" ref="H3:H16" si="2">SUM(F3+G3)</f>
        <v>4809.75</v>
      </c>
      <c r="I3" s="129">
        <f t="shared" ref="I3:I20" si="3">SUM(C3+D3+G3)</f>
        <v>4809.75</v>
      </c>
    </row>
    <row r="4" ht="18.0" customHeight="1">
      <c r="A4" s="126" t="str">
        <f>'Gross Pat. Count'!$A$1</f>
        <v>HOOVER</v>
      </c>
      <c r="B4" s="127">
        <v>45875.0</v>
      </c>
      <c r="C4" s="130">
        <v>0.0</v>
      </c>
      <c r="D4" s="131">
        <v>0.0</v>
      </c>
      <c r="E4" s="128">
        <v>0.0</v>
      </c>
      <c r="F4" s="129">
        <f t="shared" si="1"/>
        <v>0</v>
      </c>
      <c r="G4" s="131">
        <v>3228.85</v>
      </c>
      <c r="H4" s="129">
        <f t="shared" si="2"/>
        <v>3228.85</v>
      </c>
      <c r="I4" s="132">
        <f t="shared" si="3"/>
        <v>3228.85</v>
      </c>
    </row>
    <row r="5" ht="18.0" customHeight="1">
      <c r="A5" s="133" t="str">
        <f>'Gross Pat. Count'!$A$1</f>
        <v>HOOVER</v>
      </c>
      <c r="B5" s="127">
        <v>45876.0</v>
      </c>
      <c r="C5" s="128">
        <v>0.0</v>
      </c>
      <c r="D5" s="128">
        <v>0.0</v>
      </c>
      <c r="E5" s="128">
        <v>0.0</v>
      </c>
      <c r="F5" s="129">
        <f t="shared" si="1"/>
        <v>0</v>
      </c>
      <c r="G5" s="128">
        <v>4858.85</v>
      </c>
      <c r="H5" s="129">
        <f t="shared" si="2"/>
        <v>4858.85</v>
      </c>
      <c r="I5" s="129">
        <f t="shared" si="3"/>
        <v>4858.85</v>
      </c>
    </row>
    <row r="6" ht="18.0" customHeight="1">
      <c r="A6" s="133" t="str">
        <f>'Gross Pat. Count'!$A$1</f>
        <v>HOOVER</v>
      </c>
      <c r="B6" s="127">
        <v>45878.0</v>
      </c>
      <c r="C6" s="128">
        <v>0.0</v>
      </c>
      <c r="D6" s="128">
        <v>0.0</v>
      </c>
      <c r="E6" s="128">
        <v>0.0</v>
      </c>
      <c r="F6" s="129">
        <f t="shared" si="1"/>
        <v>0</v>
      </c>
      <c r="G6" s="128">
        <v>2359.85</v>
      </c>
      <c r="H6" s="129">
        <f t="shared" si="2"/>
        <v>2359.85</v>
      </c>
      <c r="I6" s="129">
        <f t="shared" si="3"/>
        <v>2359.85</v>
      </c>
    </row>
    <row r="7" ht="18.0" customHeight="1">
      <c r="A7" s="133" t="str">
        <f>'Gross Pat. Count'!$A$1</f>
        <v>HOOVER</v>
      </c>
      <c r="B7" s="127">
        <v>45882.0</v>
      </c>
      <c r="C7" s="128">
        <v>0.0</v>
      </c>
      <c r="D7" s="128">
        <v>0.0</v>
      </c>
      <c r="E7" s="128">
        <v>0.0</v>
      </c>
      <c r="F7" s="129">
        <f t="shared" si="1"/>
        <v>0</v>
      </c>
      <c r="G7" s="128">
        <v>4815.85</v>
      </c>
      <c r="H7" s="129">
        <f t="shared" si="2"/>
        <v>4815.85</v>
      </c>
      <c r="I7" s="129">
        <f t="shared" si="3"/>
        <v>4815.85</v>
      </c>
    </row>
    <row r="8" ht="18.0" customHeight="1">
      <c r="A8" s="133" t="str">
        <f>'Gross Pat. Count'!$A$1</f>
        <v>HOOVER</v>
      </c>
      <c r="B8" s="127">
        <v>45883.0</v>
      </c>
      <c r="C8" s="128">
        <v>20.0</v>
      </c>
      <c r="D8" s="128">
        <v>0.0</v>
      </c>
      <c r="E8" s="128">
        <v>20.0</v>
      </c>
      <c r="F8" s="129">
        <f t="shared" si="1"/>
        <v>20</v>
      </c>
      <c r="G8" s="128">
        <v>2893.35</v>
      </c>
      <c r="H8" s="129">
        <f t="shared" si="2"/>
        <v>2913.35</v>
      </c>
      <c r="I8" s="129">
        <f t="shared" si="3"/>
        <v>2913.35</v>
      </c>
    </row>
    <row r="9" ht="18.0" customHeight="1">
      <c r="A9" s="126" t="str">
        <f>'Gross Pat. Count'!$A$1</f>
        <v>HOOVER</v>
      </c>
      <c r="B9" s="127">
        <v>45885.0</v>
      </c>
      <c r="C9" s="128">
        <v>379.95</v>
      </c>
      <c r="D9" s="128">
        <v>0.0</v>
      </c>
      <c r="E9" s="128">
        <v>379.95</v>
      </c>
      <c r="F9" s="129">
        <f t="shared" si="1"/>
        <v>379.95</v>
      </c>
      <c r="G9" s="128">
        <v>3978.8</v>
      </c>
      <c r="H9" s="129">
        <f t="shared" si="2"/>
        <v>4358.75</v>
      </c>
      <c r="I9" s="129">
        <f t="shared" si="3"/>
        <v>4358.75</v>
      </c>
    </row>
    <row r="10" ht="18.0" customHeight="1">
      <c r="A10" s="126" t="str">
        <f>'Gross Pat. Count'!$A$1</f>
        <v>HOOVER</v>
      </c>
      <c r="B10" s="127">
        <v>45889.0</v>
      </c>
      <c r="C10" s="128">
        <v>379.95</v>
      </c>
      <c r="D10" s="128">
        <v>0.0</v>
      </c>
      <c r="E10" s="128">
        <v>379.95</v>
      </c>
      <c r="F10" s="129">
        <f t="shared" si="1"/>
        <v>379.95</v>
      </c>
      <c r="G10" s="128">
        <v>4907.8</v>
      </c>
      <c r="H10" s="129">
        <f t="shared" si="2"/>
        <v>5287.75</v>
      </c>
      <c r="I10" s="129">
        <f t="shared" si="3"/>
        <v>5287.75</v>
      </c>
    </row>
    <row r="11" ht="18.0" customHeight="1">
      <c r="A11" s="126" t="str">
        <f>'Gross Pat. Count'!$A$1</f>
        <v>HOOVER</v>
      </c>
      <c r="B11" s="127">
        <v>45890.0</v>
      </c>
      <c r="C11" s="128">
        <v>0.0</v>
      </c>
      <c r="D11" s="128">
        <v>0.0</v>
      </c>
      <c r="E11" s="128">
        <v>0.0</v>
      </c>
      <c r="F11" s="129">
        <f t="shared" si="1"/>
        <v>0</v>
      </c>
      <c r="G11" s="128">
        <v>3067.85</v>
      </c>
      <c r="H11" s="129">
        <f t="shared" si="2"/>
        <v>3067.85</v>
      </c>
      <c r="I11" s="129">
        <f t="shared" si="3"/>
        <v>3067.85</v>
      </c>
    </row>
    <row r="12" ht="18.0" customHeight="1">
      <c r="A12" s="126" t="str">
        <f>'Gross Pat. Count'!$A$1</f>
        <v>HOOVER</v>
      </c>
      <c r="B12" s="127">
        <v>45892.0</v>
      </c>
      <c r="C12" s="128">
        <v>400.0</v>
      </c>
      <c r="D12" s="128">
        <v>600.0</v>
      </c>
      <c r="E12" s="128">
        <v>1000.0</v>
      </c>
      <c r="F12" s="129">
        <f t="shared" si="1"/>
        <v>1600</v>
      </c>
      <c r="G12" s="128">
        <v>5246.35</v>
      </c>
      <c r="H12" s="129">
        <f t="shared" si="2"/>
        <v>6846.35</v>
      </c>
      <c r="I12" s="129">
        <f t="shared" si="3"/>
        <v>6246.35</v>
      </c>
    </row>
    <row r="13" ht="18.0" customHeight="1">
      <c r="A13" s="126" t="str">
        <f>'Gross Pat. Count'!$A$1</f>
        <v>HOOVER</v>
      </c>
      <c r="B13" s="127">
        <v>45896.0</v>
      </c>
      <c r="C13" s="128">
        <v>500.0</v>
      </c>
      <c r="D13" s="128">
        <v>0.0</v>
      </c>
      <c r="E13" s="128">
        <v>500.0</v>
      </c>
      <c r="F13" s="129">
        <f t="shared" si="1"/>
        <v>500</v>
      </c>
      <c r="G13" s="128">
        <v>3617.85</v>
      </c>
      <c r="H13" s="129">
        <f t="shared" si="2"/>
        <v>4117.85</v>
      </c>
      <c r="I13" s="129">
        <f t="shared" si="3"/>
        <v>4117.85</v>
      </c>
    </row>
    <row r="14" ht="18.0" customHeight="1">
      <c r="A14" s="126" t="str">
        <f>'Gross Pat. Count'!$A$1</f>
        <v>HOOVER</v>
      </c>
      <c r="B14" s="127">
        <v>45897.0</v>
      </c>
      <c r="C14" s="128">
        <v>400.0</v>
      </c>
      <c r="D14" s="128">
        <v>0.0</v>
      </c>
      <c r="E14" s="128">
        <v>400.0</v>
      </c>
      <c r="F14" s="129">
        <f t="shared" si="1"/>
        <v>400</v>
      </c>
      <c r="G14" s="128">
        <v>4618.83</v>
      </c>
      <c r="H14" s="129">
        <f t="shared" si="2"/>
        <v>5018.83</v>
      </c>
      <c r="I14" s="129">
        <f t="shared" si="3"/>
        <v>5018.83</v>
      </c>
    </row>
    <row r="15" ht="18.0" customHeight="1">
      <c r="A15" s="126" t="str">
        <f>'Gross Pat. Count'!$A$1</f>
        <v>HOOVER</v>
      </c>
      <c r="B15" s="127">
        <v>45899.0</v>
      </c>
      <c r="C15" s="128">
        <v>200.0</v>
      </c>
      <c r="D15" s="128">
        <v>0.0</v>
      </c>
      <c r="E15" s="128">
        <v>200.0</v>
      </c>
      <c r="F15" s="129">
        <f t="shared" si="1"/>
        <v>200</v>
      </c>
      <c r="G15" s="128">
        <v>6048.55</v>
      </c>
      <c r="H15" s="129">
        <f t="shared" si="2"/>
        <v>6248.55</v>
      </c>
      <c r="I15" s="129">
        <f t="shared" si="3"/>
        <v>6248.55</v>
      </c>
    </row>
    <row r="16" ht="18.0" customHeight="1">
      <c r="A16" s="126" t="str">
        <f>'Gross Pat. Count'!$A$1</f>
        <v>HOOVER</v>
      </c>
      <c r="B16" s="134" t="str">
        <f>'Gross Pat. Count'!A18</f>
        <v/>
      </c>
      <c r="C16" s="129"/>
      <c r="D16" s="129"/>
      <c r="E16" s="129"/>
      <c r="F16" s="129">
        <f t="shared" si="1"/>
        <v>0</v>
      </c>
      <c r="G16" s="129"/>
      <c r="H16" s="129">
        <f t="shared" si="2"/>
        <v>0</v>
      </c>
      <c r="I16" s="129">
        <f t="shared" si="3"/>
        <v>0</v>
      </c>
    </row>
    <row r="17" ht="18.0" customHeight="1">
      <c r="A17" s="126" t="str">
        <f>'Gross Pat. Count'!$A$1</f>
        <v>HOOVER</v>
      </c>
      <c r="B17" s="134" t="str">
        <f>'Gross Pat. Count'!A19</f>
        <v/>
      </c>
      <c r="C17" s="129"/>
      <c r="D17" s="129"/>
      <c r="E17" s="129"/>
      <c r="F17" s="129"/>
      <c r="G17" s="129"/>
      <c r="H17" s="129"/>
      <c r="I17" s="129">
        <f t="shared" si="3"/>
        <v>0</v>
      </c>
    </row>
    <row r="18" ht="18.0" customHeight="1">
      <c r="A18" s="126" t="str">
        <f>'Gross Pat. Count'!$A$1</f>
        <v>HOOVER</v>
      </c>
      <c r="B18" s="134" t="str">
        <f>'Gross Pat. Count'!A20</f>
        <v/>
      </c>
      <c r="C18" s="129"/>
      <c r="D18" s="129"/>
      <c r="E18" s="129"/>
      <c r="F18" s="129"/>
      <c r="G18" s="129"/>
      <c r="H18" s="129"/>
      <c r="I18" s="129">
        <f t="shared" si="3"/>
        <v>0</v>
      </c>
    </row>
    <row r="19" ht="18.0" customHeight="1">
      <c r="A19" s="126" t="str">
        <f>'Gross Pat. Count'!$A$1</f>
        <v>HOOVER</v>
      </c>
      <c r="B19" s="134" t="str">
        <f>'Gross Pat. Count'!A21</f>
        <v/>
      </c>
      <c r="C19" s="129"/>
      <c r="D19" s="129"/>
      <c r="E19" s="129"/>
      <c r="F19" s="129"/>
      <c r="G19" s="129"/>
      <c r="H19" s="129"/>
      <c r="I19" s="129">
        <f t="shared" si="3"/>
        <v>0</v>
      </c>
    </row>
    <row r="20" ht="18.0" customHeight="1">
      <c r="A20" s="126" t="str">
        <f>'Gross Pat. Count'!$A$1</f>
        <v>HOOVER</v>
      </c>
      <c r="B20" s="134" t="str">
        <f>'Gross Pat. Count'!A22</f>
        <v/>
      </c>
      <c r="C20" s="129"/>
      <c r="D20" s="129"/>
      <c r="E20" s="129"/>
      <c r="F20" s="129"/>
      <c r="G20" s="129"/>
      <c r="H20" s="129"/>
      <c r="I20" s="129">
        <f t="shared" si="3"/>
        <v>0</v>
      </c>
    </row>
    <row r="21" ht="17.25" customHeight="1">
      <c r="A21" s="135" t="s">
        <v>42</v>
      </c>
      <c r="B21" s="136"/>
      <c r="C21" s="136">
        <f t="shared" ref="C21:D21" si="4">SUM(C3:C20)</f>
        <v>2629.9</v>
      </c>
      <c r="D21" s="136">
        <f t="shared" si="4"/>
        <v>600</v>
      </c>
      <c r="E21" s="136"/>
      <c r="F21" s="136">
        <f t="shared" ref="F21:I21" si="5">SUM(F3:F20)</f>
        <v>3829.9</v>
      </c>
      <c r="G21" s="136">
        <f t="shared" si="5"/>
        <v>54102.53</v>
      </c>
      <c r="H21" s="136">
        <f t="shared" si="5"/>
        <v>57932.43</v>
      </c>
      <c r="I21" s="136">
        <f t="shared" si="5"/>
        <v>57332.43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5.14"/>
    <col customWidth="1" min="3" max="3" width="11.57"/>
    <col customWidth="1" min="4" max="4" width="3.0"/>
    <col customWidth="1" min="5" max="5" width="11.57"/>
    <col customWidth="1" min="6" max="6" width="13.14"/>
    <col customWidth="1" hidden="1" min="7" max="8" width="13.14"/>
    <col customWidth="1" min="9" max="9" width="3.0"/>
  </cols>
  <sheetData>
    <row r="1" ht="69.0" customHeight="1">
      <c r="A1" s="137" t="str">
        <f>'Gross Pat. Count'!A1</f>
        <v>HOOVER</v>
      </c>
      <c r="B1" s="138"/>
      <c r="C1" s="139"/>
      <c r="D1" s="140"/>
      <c r="E1" s="141" t="s">
        <v>19</v>
      </c>
      <c r="F1" s="2"/>
      <c r="G1" s="2"/>
      <c r="H1" s="2"/>
      <c r="I1" s="140"/>
    </row>
    <row r="2" ht="45.0" customHeight="1">
      <c r="A2" s="142" t="s">
        <v>43</v>
      </c>
      <c r="B2" s="143" t="s">
        <v>44</v>
      </c>
      <c r="C2" s="143" t="s">
        <v>45</v>
      </c>
      <c r="D2" s="144"/>
      <c r="E2" s="145" t="s">
        <v>46</v>
      </c>
      <c r="F2" s="145" t="s">
        <v>45</v>
      </c>
      <c r="G2" s="146" t="s">
        <v>47</v>
      </c>
      <c r="H2" s="146" t="s">
        <v>45</v>
      </c>
      <c r="I2" s="144"/>
      <c r="J2" s="147" t="s">
        <v>48</v>
      </c>
      <c r="K2" s="148" t="s">
        <v>45</v>
      </c>
    </row>
    <row r="3" ht="18.0" customHeight="1">
      <c r="A3" s="149">
        <f>'Gross Pat. Count'!A5</f>
        <v>45871</v>
      </c>
      <c r="B3" s="150">
        <v>5.0</v>
      </c>
      <c r="C3" s="151">
        <f t="shared" ref="C3:C11" si="1">SUM(B3*4)</f>
        <v>20</v>
      </c>
      <c r="D3" s="152"/>
      <c r="E3" s="153">
        <v>9.0</v>
      </c>
      <c r="F3" s="151">
        <f t="shared" ref="F3:F21" si="2">SUM(E3*4)</f>
        <v>36</v>
      </c>
      <c r="G3" s="154"/>
      <c r="H3" s="151">
        <f t="shared" ref="H3:H11" si="3">SUM(G3*4)</f>
        <v>0</v>
      </c>
      <c r="I3" s="152"/>
      <c r="J3" s="153">
        <v>0.0</v>
      </c>
      <c r="K3" s="151">
        <f t="shared" ref="K3:K21" si="4">SUM(J3*4)</f>
        <v>0</v>
      </c>
    </row>
    <row r="4" ht="18.0" customHeight="1">
      <c r="A4" s="149">
        <f>'Gross Pat. Count'!A6</f>
        <v>45875</v>
      </c>
      <c r="B4" s="150">
        <v>3.0</v>
      </c>
      <c r="C4" s="151">
        <f t="shared" si="1"/>
        <v>12</v>
      </c>
      <c r="D4" s="152"/>
      <c r="E4" s="153">
        <v>6.0</v>
      </c>
      <c r="F4" s="151">
        <f t="shared" si="2"/>
        <v>24</v>
      </c>
      <c r="G4" s="154"/>
      <c r="H4" s="151">
        <f t="shared" si="3"/>
        <v>0</v>
      </c>
      <c r="I4" s="152"/>
      <c r="J4" s="153">
        <v>0.0</v>
      </c>
      <c r="K4" s="151">
        <f t="shared" si="4"/>
        <v>0</v>
      </c>
    </row>
    <row r="5" ht="18.0" customHeight="1">
      <c r="A5" s="149">
        <f>'Gross Pat. Count'!A7</f>
        <v>45876</v>
      </c>
      <c r="B5" s="150">
        <v>6.0</v>
      </c>
      <c r="C5" s="151">
        <f t="shared" si="1"/>
        <v>24</v>
      </c>
      <c r="D5" s="152"/>
      <c r="E5" s="153">
        <v>8.0</v>
      </c>
      <c r="F5" s="151">
        <f t="shared" si="2"/>
        <v>32</v>
      </c>
      <c r="G5" s="154"/>
      <c r="H5" s="151">
        <f t="shared" si="3"/>
        <v>0</v>
      </c>
      <c r="I5" s="152"/>
      <c r="J5" s="153">
        <v>0.0</v>
      </c>
      <c r="K5" s="151">
        <f t="shared" si="4"/>
        <v>0</v>
      </c>
    </row>
    <row r="6" ht="18.0" customHeight="1">
      <c r="A6" s="149">
        <f>'Gross Pat. Count'!A8</f>
        <v>45878</v>
      </c>
      <c r="B6" s="150">
        <v>2.0</v>
      </c>
      <c r="C6" s="151">
        <f t="shared" si="1"/>
        <v>8</v>
      </c>
      <c r="D6" s="152"/>
      <c r="E6" s="153">
        <v>5.0</v>
      </c>
      <c r="F6" s="151">
        <f t="shared" si="2"/>
        <v>20</v>
      </c>
      <c r="G6" s="154"/>
      <c r="H6" s="151">
        <f t="shared" si="3"/>
        <v>0</v>
      </c>
      <c r="I6" s="152"/>
      <c r="J6" s="153">
        <v>0.0</v>
      </c>
      <c r="K6" s="151">
        <f t="shared" si="4"/>
        <v>0</v>
      </c>
    </row>
    <row r="7" ht="18.0" customHeight="1">
      <c r="A7" s="149">
        <f>'Gross Pat. Count'!A9</f>
        <v>45882</v>
      </c>
      <c r="B7" s="150">
        <v>5.0</v>
      </c>
      <c r="C7" s="151">
        <f t="shared" si="1"/>
        <v>20</v>
      </c>
      <c r="D7" s="152"/>
      <c r="E7" s="153">
        <v>8.0</v>
      </c>
      <c r="F7" s="151">
        <f t="shared" si="2"/>
        <v>32</v>
      </c>
      <c r="G7" s="154"/>
      <c r="H7" s="151">
        <f t="shared" si="3"/>
        <v>0</v>
      </c>
      <c r="I7" s="152"/>
      <c r="J7" s="153">
        <v>0.0</v>
      </c>
      <c r="K7" s="151">
        <f t="shared" si="4"/>
        <v>0</v>
      </c>
    </row>
    <row r="8" ht="18.0" customHeight="1">
      <c r="A8" s="149">
        <f>'Gross Pat. Count'!A10</f>
        <v>45883</v>
      </c>
      <c r="B8" s="150">
        <v>3.0</v>
      </c>
      <c r="C8" s="151">
        <f t="shared" si="1"/>
        <v>12</v>
      </c>
      <c r="D8" s="152"/>
      <c r="E8" s="153">
        <v>4.0</v>
      </c>
      <c r="F8" s="151">
        <f t="shared" si="2"/>
        <v>16</v>
      </c>
      <c r="G8" s="154"/>
      <c r="H8" s="151">
        <f t="shared" si="3"/>
        <v>0</v>
      </c>
      <c r="I8" s="152"/>
      <c r="J8" s="153">
        <v>0.0</v>
      </c>
      <c r="K8" s="151">
        <f t="shared" si="4"/>
        <v>0</v>
      </c>
    </row>
    <row r="9" ht="18.0" customHeight="1">
      <c r="A9" s="149">
        <f>'Gross Pat. Count'!A11</f>
        <v>45885</v>
      </c>
      <c r="B9" s="150">
        <v>4.0</v>
      </c>
      <c r="C9" s="151">
        <f t="shared" si="1"/>
        <v>16</v>
      </c>
      <c r="D9" s="152"/>
      <c r="E9" s="153">
        <v>7.0</v>
      </c>
      <c r="F9" s="151">
        <f t="shared" si="2"/>
        <v>28</v>
      </c>
      <c r="G9" s="154"/>
      <c r="H9" s="151">
        <f t="shared" si="3"/>
        <v>0</v>
      </c>
      <c r="I9" s="152"/>
      <c r="J9" s="153">
        <v>0.0</v>
      </c>
      <c r="K9" s="151">
        <f t="shared" si="4"/>
        <v>0</v>
      </c>
    </row>
    <row r="10" ht="18.0" customHeight="1">
      <c r="A10" s="149">
        <f>'Gross Pat. Count'!A12</f>
        <v>45889</v>
      </c>
      <c r="B10" s="150">
        <v>4.0</v>
      </c>
      <c r="C10" s="151">
        <f t="shared" si="1"/>
        <v>16</v>
      </c>
      <c r="D10" s="152"/>
      <c r="E10" s="153">
        <v>9.0</v>
      </c>
      <c r="F10" s="151">
        <f t="shared" si="2"/>
        <v>36</v>
      </c>
      <c r="G10" s="154"/>
      <c r="H10" s="151">
        <f t="shared" si="3"/>
        <v>0</v>
      </c>
      <c r="I10" s="152"/>
      <c r="J10" s="153">
        <v>0.0</v>
      </c>
      <c r="K10" s="151">
        <f t="shared" si="4"/>
        <v>0</v>
      </c>
    </row>
    <row r="11" ht="18.0" customHeight="1">
      <c r="A11" s="149">
        <f>'Gross Pat. Count'!A13</f>
        <v>45890</v>
      </c>
      <c r="B11" s="150">
        <v>3.0</v>
      </c>
      <c r="C11" s="151">
        <f t="shared" si="1"/>
        <v>12</v>
      </c>
      <c r="D11" s="152"/>
      <c r="E11" s="153">
        <v>7.0</v>
      </c>
      <c r="F11" s="151">
        <f t="shared" si="2"/>
        <v>28</v>
      </c>
      <c r="G11" s="154"/>
      <c r="H11" s="151">
        <f t="shared" si="3"/>
        <v>0</v>
      </c>
      <c r="I11" s="152"/>
      <c r="J11" s="153">
        <v>0.0</v>
      </c>
      <c r="K11" s="151">
        <f t="shared" si="4"/>
        <v>0</v>
      </c>
    </row>
    <row r="12" ht="18.0" customHeight="1">
      <c r="A12" s="155">
        <v>45892.0</v>
      </c>
      <c r="B12" s="150">
        <v>7.0</v>
      </c>
      <c r="C12" s="150">
        <v>28.0</v>
      </c>
      <c r="D12" s="152"/>
      <c r="E12" s="153">
        <v>4.0</v>
      </c>
      <c r="F12" s="151">
        <f t="shared" si="2"/>
        <v>16</v>
      </c>
      <c r="G12" s="154"/>
      <c r="H12" s="151"/>
      <c r="I12" s="152"/>
      <c r="J12" s="153">
        <v>0.0</v>
      </c>
      <c r="K12" s="151">
        <f t="shared" si="4"/>
        <v>0</v>
      </c>
    </row>
    <row r="13" ht="18.0" customHeight="1">
      <c r="A13" s="155">
        <v>45896.0</v>
      </c>
      <c r="B13" s="150">
        <v>5.0</v>
      </c>
      <c r="C13" s="151">
        <f t="shared" ref="C13:C21" si="5">SUM(B13*4)</f>
        <v>20</v>
      </c>
      <c r="D13" s="152"/>
      <c r="E13" s="153">
        <v>9.0</v>
      </c>
      <c r="F13" s="151">
        <f t="shared" si="2"/>
        <v>36</v>
      </c>
      <c r="G13" s="154"/>
      <c r="H13" s="151">
        <f t="shared" ref="H13:H21" si="6">SUM(G13*4)</f>
        <v>0</v>
      </c>
      <c r="I13" s="152"/>
      <c r="J13" s="153">
        <v>0.0</v>
      </c>
      <c r="K13" s="151">
        <f t="shared" si="4"/>
        <v>0</v>
      </c>
    </row>
    <row r="14" ht="18.0" customHeight="1">
      <c r="A14" s="155">
        <v>45897.0</v>
      </c>
      <c r="B14" s="150">
        <v>5.0</v>
      </c>
      <c r="C14" s="151">
        <f t="shared" si="5"/>
        <v>20</v>
      </c>
      <c r="D14" s="152"/>
      <c r="E14" s="153">
        <v>10.0</v>
      </c>
      <c r="F14" s="151">
        <f t="shared" si="2"/>
        <v>40</v>
      </c>
      <c r="G14" s="154"/>
      <c r="H14" s="151">
        <f t="shared" si="6"/>
        <v>0</v>
      </c>
      <c r="I14" s="152"/>
      <c r="J14" s="153">
        <v>0.0</v>
      </c>
      <c r="K14" s="151">
        <f t="shared" si="4"/>
        <v>0</v>
      </c>
    </row>
    <row r="15" ht="18.0" customHeight="1">
      <c r="A15" s="149">
        <f>'Gross Pat. Count'!A17</f>
        <v>45899</v>
      </c>
      <c r="B15" s="150">
        <v>4.0</v>
      </c>
      <c r="C15" s="151">
        <f t="shared" si="5"/>
        <v>16</v>
      </c>
      <c r="D15" s="152"/>
      <c r="E15" s="153">
        <v>10.0</v>
      </c>
      <c r="F15" s="151">
        <f t="shared" si="2"/>
        <v>40</v>
      </c>
      <c r="G15" s="154"/>
      <c r="H15" s="151">
        <f t="shared" si="6"/>
        <v>0</v>
      </c>
      <c r="I15" s="152"/>
      <c r="J15" s="156"/>
      <c r="K15" s="151">
        <f t="shared" si="4"/>
        <v>0</v>
      </c>
    </row>
    <row r="16" ht="18.0" customHeight="1">
      <c r="A16" s="149" t="str">
        <f>'Gross Pat. Count'!A18</f>
        <v/>
      </c>
      <c r="B16" s="151"/>
      <c r="C16" s="151">
        <f t="shared" si="5"/>
        <v>0</v>
      </c>
      <c r="D16" s="152"/>
      <c r="E16" s="156"/>
      <c r="F16" s="151">
        <f t="shared" si="2"/>
        <v>0</v>
      </c>
      <c r="G16" s="154"/>
      <c r="H16" s="151">
        <f t="shared" si="6"/>
        <v>0</v>
      </c>
      <c r="I16" s="152"/>
      <c r="J16" s="156"/>
      <c r="K16" s="151">
        <f t="shared" si="4"/>
        <v>0</v>
      </c>
    </row>
    <row r="17" ht="18.0" customHeight="1">
      <c r="A17" s="149" t="str">
        <f>'Gross Pat. Count'!A19</f>
        <v/>
      </c>
      <c r="B17" s="151"/>
      <c r="C17" s="151">
        <f t="shared" si="5"/>
        <v>0</v>
      </c>
      <c r="D17" s="152"/>
      <c r="E17" s="156"/>
      <c r="F17" s="151">
        <f t="shared" si="2"/>
        <v>0</v>
      </c>
      <c r="G17" s="154"/>
      <c r="H17" s="151">
        <f t="shared" si="6"/>
        <v>0</v>
      </c>
      <c r="I17" s="152"/>
      <c r="J17" s="156"/>
      <c r="K17" s="151">
        <f t="shared" si="4"/>
        <v>0</v>
      </c>
    </row>
    <row r="18" ht="18.0" customHeight="1">
      <c r="A18" s="149" t="str">
        <f>'Gross Pat. Count'!A20</f>
        <v/>
      </c>
      <c r="B18" s="151"/>
      <c r="C18" s="151">
        <f t="shared" si="5"/>
        <v>0</v>
      </c>
      <c r="D18" s="152"/>
      <c r="E18" s="156"/>
      <c r="F18" s="151">
        <f t="shared" si="2"/>
        <v>0</v>
      </c>
      <c r="G18" s="154"/>
      <c r="H18" s="151">
        <f t="shared" si="6"/>
        <v>0</v>
      </c>
      <c r="I18" s="152"/>
      <c r="J18" s="156"/>
      <c r="K18" s="151">
        <f t="shared" si="4"/>
        <v>0</v>
      </c>
    </row>
    <row r="19" ht="18.0" customHeight="1">
      <c r="A19" s="149" t="str">
        <f>'Gross Pat. Count'!A21</f>
        <v/>
      </c>
      <c r="B19" s="151"/>
      <c r="C19" s="151">
        <f t="shared" si="5"/>
        <v>0</v>
      </c>
      <c r="D19" s="152"/>
      <c r="E19" s="156"/>
      <c r="F19" s="151">
        <f t="shared" si="2"/>
        <v>0</v>
      </c>
      <c r="G19" s="154"/>
      <c r="H19" s="151">
        <f t="shared" si="6"/>
        <v>0</v>
      </c>
      <c r="I19" s="152"/>
      <c r="J19" s="156"/>
      <c r="K19" s="151">
        <f t="shared" si="4"/>
        <v>0</v>
      </c>
    </row>
    <row r="20" ht="18.0" customHeight="1">
      <c r="A20" s="149" t="str">
        <f>'Gross Pat. Count'!A22</f>
        <v/>
      </c>
      <c r="B20" s="151"/>
      <c r="C20" s="151">
        <f t="shared" si="5"/>
        <v>0</v>
      </c>
      <c r="D20" s="152"/>
      <c r="E20" s="156"/>
      <c r="F20" s="151">
        <f t="shared" si="2"/>
        <v>0</v>
      </c>
      <c r="G20" s="154"/>
      <c r="H20" s="151">
        <f t="shared" si="6"/>
        <v>0</v>
      </c>
      <c r="I20" s="152"/>
      <c r="J20" s="156"/>
      <c r="K20" s="151">
        <f t="shared" si="4"/>
        <v>0</v>
      </c>
    </row>
    <row r="21" ht="18.0" customHeight="1">
      <c r="A21" s="157" t="s">
        <v>49</v>
      </c>
      <c r="B21" s="158">
        <f>SUM(B3:B20)</f>
        <v>56</v>
      </c>
      <c r="C21" s="151">
        <f t="shared" si="5"/>
        <v>224</v>
      </c>
      <c r="D21" s="152"/>
      <c r="E21" s="158">
        <f>SUM(E3:E20)</f>
        <v>96</v>
      </c>
      <c r="F21" s="151">
        <f t="shared" si="2"/>
        <v>384</v>
      </c>
      <c r="G21" s="158">
        <f>SUM(G3:G20)</f>
        <v>0</v>
      </c>
      <c r="H21" s="151">
        <f t="shared" si="6"/>
        <v>0</v>
      </c>
      <c r="I21" s="152"/>
      <c r="J21" s="158">
        <f>SUM(J3:J20)</f>
        <v>0</v>
      </c>
      <c r="K21" s="151">
        <f t="shared" si="4"/>
        <v>0</v>
      </c>
    </row>
    <row r="22" ht="15.75" customHeight="1">
      <c r="E22" s="159"/>
    </row>
    <row r="23" ht="15.75" customHeight="1">
      <c r="E23" s="159"/>
    </row>
    <row r="24" ht="15.75" customHeight="1">
      <c r="E24" s="159"/>
    </row>
    <row r="25" ht="15.75" customHeight="1">
      <c r="E25" s="159"/>
    </row>
    <row r="26" ht="15.75" customHeight="1">
      <c r="E26" s="159"/>
    </row>
    <row r="27" ht="15.75" customHeight="1">
      <c r="E27" s="159"/>
    </row>
    <row r="28" ht="15.75" customHeight="1">
      <c r="E28" s="159"/>
    </row>
    <row r="29" ht="15.75" customHeight="1">
      <c r="E29" s="159"/>
    </row>
    <row r="30" ht="15.75" customHeight="1">
      <c r="E30" s="159"/>
    </row>
    <row r="31" ht="15.75" customHeight="1">
      <c r="E31" s="159"/>
    </row>
    <row r="32" ht="15.75" customHeight="1">
      <c r="E32" s="159"/>
    </row>
    <row r="33" ht="15.75" customHeight="1">
      <c r="E33" s="159"/>
    </row>
    <row r="34" ht="15.75" customHeight="1">
      <c r="E34" s="159"/>
    </row>
    <row r="35" ht="15.75" customHeight="1">
      <c r="E35" s="159"/>
    </row>
    <row r="36" ht="15.75" customHeight="1">
      <c r="E36" s="159"/>
    </row>
    <row r="37" ht="15.75" customHeight="1">
      <c r="E37" s="159"/>
    </row>
    <row r="38" ht="15.75" customHeight="1">
      <c r="E38" s="159"/>
    </row>
    <row r="39" ht="15.75" customHeight="1">
      <c r="E39" s="159"/>
    </row>
    <row r="40" ht="15.75" customHeight="1">
      <c r="E40" s="159"/>
    </row>
    <row r="41" ht="15.75" customHeight="1">
      <c r="E41" s="159"/>
    </row>
    <row r="42" ht="15.75" customHeight="1">
      <c r="E42" s="159"/>
    </row>
    <row r="43" ht="15.75" customHeight="1">
      <c r="E43" s="159"/>
    </row>
    <row r="44" ht="15.75" customHeight="1">
      <c r="E44" s="159"/>
    </row>
    <row r="45" ht="15.75" customHeight="1">
      <c r="E45" s="159"/>
    </row>
    <row r="46" ht="15.75" customHeight="1">
      <c r="E46" s="159"/>
    </row>
    <row r="47" ht="15.75" customHeight="1">
      <c r="E47" s="159"/>
    </row>
    <row r="48" ht="15.75" customHeight="1">
      <c r="E48" s="159"/>
    </row>
    <row r="49" ht="15.75" customHeight="1">
      <c r="E49" s="159"/>
    </row>
    <row r="50" ht="15.75" customHeight="1">
      <c r="E50" s="159"/>
    </row>
    <row r="51" ht="15.75" customHeight="1">
      <c r="E51" s="159"/>
    </row>
    <row r="52" ht="15.75" customHeight="1">
      <c r="E52" s="159"/>
    </row>
    <row r="53" ht="15.75" customHeight="1">
      <c r="E53" s="159"/>
    </row>
    <row r="54" ht="15.75" customHeight="1">
      <c r="E54" s="159"/>
    </row>
    <row r="55" ht="15.75" customHeight="1">
      <c r="E55" s="159"/>
    </row>
    <row r="56" ht="15.75" customHeight="1">
      <c r="E56" s="159"/>
    </row>
    <row r="57" ht="15.75" customHeight="1">
      <c r="E57" s="159"/>
    </row>
    <row r="58" ht="15.75" customHeight="1">
      <c r="E58" s="159"/>
    </row>
    <row r="59" ht="15.75" customHeight="1">
      <c r="E59" s="159"/>
    </row>
    <row r="60" ht="15.75" customHeight="1">
      <c r="E60" s="159"/>
    </row>
    <row r="61" ht="15.75" customHeight="1">
      <c r="E61" s="159"/>
    </row>
    <row r="62" ht="15.75" customHeight="1">
      <c r="E62" s="159"/>
    </row>
    <row r="63" ht="15.75" customHeight="1">
      <c r="E63" s="159"/>
    </row>
    <row r="64" ht="15.75" customHeight="1">
      <c r="E64" s="159"/>
    </row>
    <row r="65" ht="15.75" customHeight="1">
      <c r="E65" s="159"/>
    </row>
    <row r="66" ht="15.75" customHeight="1">
      <c r="E66" s="159"/>
    </row>
    <row r="67" ht="15.75" customHeight="1">
      <c r="E67" s="159"/>
    </row>
    <row r="68" ht="15.75" customHeight="1">
      <c r="E68" s="159"/>
    </row>
    <row r="69" ht="15.75" customHeight="1">
      <c r="E69" s="159"/>
    </row>
    <row r="70" ht="15.75" customHeight="1">
      <c r="E70" s="159"/>
    </row>
    <row r="71" ht="15.75" customHeight="1">
      <c r="E71" s="159"/>
    </row>
    <row r="72" ht="15.75" customHeight="1">
      <c r="E72" s="159"/>
    </row>
    <row r="73" ht="15.75" customHeight="1">
      <c r="E73" s="159"/>
    </row>
    <row r="74" ht="15.75" customHeight="1">
      <c r="E74" s="159"/>
    </row>
    <row r="75" ht="15.75" customHeight="1">
      <c r="E75" s="159"/>
    </row>
    <row r="76" ht="15.75" customHeight="1">
      <c r="E76" s="159"/>
    </row>
    <row r="77" ht="15.75" customHeight="1">
      <c r="E77" s="159"/>
    </row>
    <row r="78" ht="15.75" customHeight="1">
      <c r="E78" s="159"/>
    </row>
    <row r="79" ht="15.75" customHeight="1">
      <c r="E79" s="159"/>
    </row>
    <row r="80" ht="15.75" customHeight="1">
      <c r="E80" s="159"/>
    </row>
    <row r="81" ht="15.75" customHeight="1">
      <c r="E81" s="159"/>
    </row>
    <row r="82" ht="15.75" customHeight="1">
      <c r="E82" s="159"/>
    </row>
    <row r="83" ht="15.75" customHeight="1">
      <c r="E83" s="159"/>
    </row>
    <row r="84" ht="15.75" customHeight="1">
      <c r="E84" s="159"/>
    </row>
    <row r="85" ht="15.75" customHeight="1">
      <c r="E85" s="159"/>
    </row>
    <row r="86" ht="15.75" customHeight="1">
      <c r="E86" s="159"/>
    </row>
    <row r="87" ht="15.75" customHeight="1">
      <c r="E87" s="159"/>
    </row>
    <row r="88" ht="15.75" customHeight="1">
      <c r="E88" s="159"/>
    </row>
    <row r="89" ht="15.75" customHeight="1">
      <c r="E89" s="159"/>
    </row>
    <row r="90" ht="15.75" customHeight="1">
      <c r="E90" s="159"/>
    </row>
    <row r="91" ht="15.75" customHeight="1">
      <c r="E91" s="159"/>
    </row>
    <row r="92" ht="15.75" customHeight="1">
      <c r="E92" s="159"/>
    </row>
    <row r="93" ht="15.75" customHeight="1">
      <c r="E93" s="159"/>
    </row>
    <row r="94" ht="15.75" customHeight="1">
      <c r="E94" s="159"/>
    </row>
    <row r="95" ht="15.75" customHeight="1">
      <c r="E95" s="159"/>
    </row>
    <row r="96" ht="15.75" customHeight="1">
      <c r="E96" s="159"/>
    </row>
    <row r="97" ht="15.75" customHeight="1">
      <c r="E97" s="159"/>
    </row>
    <row r="98" ht="15.75" customHeight="1">
      <c r="E98" s="159"/>
    </row>
    <row r="99" ht="15.75" customHeight="1">
      <c r="E99" s="159"/>
    </row>
    <row r="100" ht="15.75" customHeight="1">
      <c r="E100" s="159"/>
    </row>
    <row r="101" ht="15.75" customHeight="1">
      <c r="E101" s="159"/>
    </row>
    <row r="102" ht="15.75" customHeight="1">
      <c r="E102" s="159"/>
    </row>
    <row r="103" ht="15.75" customHeight="1">
      <c r="E103" s="159"/>
    </row>
    <row r="104" ht="15.75" customHeight="1">
      <c r="E104" s="159"/>
    </row>
    <row r="105" ht="15.75" customHeight="1">
      <c r="E105" s="159"/>
    </row>
    <row r="106" ht="15.75" customHeight="1">
      <c r="E106" s="159"/>
    </row>
    <row r="107" ht="15.75" customHeight="1">
      <c r="E107" s="159"/>
    </row>
    <row r="108" ht="15.75" customHeight="1">
      <c r="E108" s="159"/>
    </row>
    <row r="109" ht="15.75" customHeight="1">
      <c r="E109" s="159"/>
    </row>
    <row r="110" ht="15.75" customHeight="1">
      <c r="E110" s="159"/>
    </row>
    <row r="111" ht="15.75" customHeight="1">
      <c r="E111" s="159"/>
    </row>
    <row r="112" ht="15.75" customHeight="1">
      <c r="E112" s="159"/>
    </row>
    <row r="113" ht="15.75" customHeight="1">
      <c r="E113" s="159"/>
    </row>
    <row r="114" ht="15.75" customHeight="1">
      <c r="E114" s="159"/>
    </row>
    <row r="115" ht="15.75" customHeight="1">
      <c r="E115" s="159"/>
    </row>
    <row r="116" ht="15.75" customHeight="1">
      <c r="E116" s="159"/>
    </row>
    <row r="117" ht="15.75" customHeight="1">
      <c r="E117" s="159"/>
    </row>
    <row r="118" ht="15.75" customHeight="1">
      <c r="E118" s="159"/>
    </row>
    <row r="119" ht="15.75" customHeight="1">
      <c r="E119" s="159"/>
    </row>
    <row r="120" ht="15.75" customHeight="1">
      <c r="E120" s="159"/>
    </row>
    <row r="121" ht="15.75" customHeight="1">
      <c r="E121" s="159"/>
    </row>
    <row r="122" ht="15.75" customHeight="1">
      <c r="E122" s="159"/>
    </row>
    <row r="123" ht="15.75" customHeight="1">
      <c r="E123" s="159"/>
    </row>
    <row r="124" ht="15.75" customHeight="1">
      <c r="E124" s="159"/>
    </row>
    <row r="125" ht="15.75" customHeight="1">
      <c r="E125" s="159"/>
    </row>
    <row r="126" ht="15.75" customHeight="1">
      <c r="E126" s="159"/>
    </row>
    <row r="127" ht="15.75" customHeight="1">
      <c r="E127" s="159"/>
    </row>
    <row r="128" ht="15.75" customHeight="1">
      <c r="E128" s="159"/>
    </row>
    <row r="129" ht="15.75" customHeight="1">
      <c r="E129" s="159"/>
    </row>
    <row r="130" ht="15.75" customHeight="1">
      <c r="E130" s="159"/>
    </row>
    <row r="131" ht="15.75" customHeight="1">
      <c r="E131" s="159"/>
    </row>
    <row r="132" ht="15.75" customHeight="1">
      <c r="E132" s="159"/>
    </row>
    <row r="133" ht="15.75" customHeight="1">
      <c r="E133" s="159"/>
    </row>
    <row r="134" ht="15.75" customHeight="1">
      <c r="E134" s="159"/>
    </row>
    <row r="135" ht="15.75" customHeight="1">
      <c r="E135" s="159"/>
    </row>
    <row r="136" ht="15.75" customHeight="1">
      <c r="E136" s="159"/>
    </row>
    <row r="137" ht="15.75" customHeight="1">
      <c r="E137" s="159"/>
    </row>
    <row r="138" ht="15.75" customHeight="1">
      <c r="E138" s="159"/>
    </row>
    <row r="139" ht="15.75" customHeight="1">
      <c r="E139" s="159"/>
    </row>
    <row r="140" ht="15.75" customHeight="1">
      <c r="E140" s="159"/>
    </row>
    <row r="141" ht="15.75" customHeight="1">
      <c r="E141" s="159"/>
    </row>
    <row r="142" ht="15.75" customHeight="1">
      <c r="E142" s="159"/>
    </row>
    <row r="143" ht="15.75" customHeight="1">
      <c r="E143" s="159"/>
    </row>
    <row r="144" ht="15.75" customHeight="1">
      <c r="E144" s="159"/>
    </row>
    <row r="145" ht="15.75" customHeight="1">
      <c r="E145" s="159"/>
    </row>
    <row r="146" ht="15.75" customHeight="1">
      <c r="E146" s="159"/>
    </row>
    <row r="147" ht="15.75" customHeight="1">
      <c r="E147" s="159"/>
    </row>
    <row r="148" ht="15.75" customHeight="1">
      <c r="E148" s="159"/>
    </row>
    <row r="149" ht="15.75" customHeight="1">
      <c r="E149" s="159"/>
    </row>
    <row r="150" ht="15.75" customHeight="1">
      <c r="E150" s="159"/>
    </row>
    <row r="151" ht="15.75" customHeight="1">
      <c r="E151" s="159"/>
    </row>
    <row r="152" ht="15.75" customHeight="1">
      <c r="E152" s="159"/>
    </row>
    <row r="153" ht="15.75" customHeight="1">
      <c r="E153" s="159"/>
    </row>
    <row r="154" ht="15.75" customHeight="1">
      <c r="E154" s="159"/>
    </row>
    <row r="155" ht="15.75" customHeight="1">
      <c r="E155" s="159"/>
    </row>
    <row r="156" ht="15.75" customHeight="1">
      <c r="E156" s="159"/>
    </row>
    <row r="157" ht="15.75" customHeight="1">
      <c r="E157" s="159"/>
    </row>
    <row r="158" ht="15.75" customHeight="1">
      <c r="E158" s="159"/>
    </row>
    <row r="159" ht="15.75" customHeight="1">
      <c r="E159" s="159"/>
    </row>
    <row r="160" ht="15.75" customHeight="1">
      <c r="E160" s="159"/>
    </row>
    <row r="161" ht="15.75" customHeight="1">
      <c r="E161" s="159"/>
    </row>
    <row r="162" ht="15.75" customHeight="1">
      <c r="E162" s="159"/>
    </row>
    <row r="163" ht="15.75" customHeight="1">
      <c r="E163" s="159"/>
    </row>
    <row r="164" ht="15.75" customHeight="1">
      <c r="E164" s="159"/>
    </row>
    <row r="165" ht="15.75" customHeight="1">
      <c r="E165" s="159"/>
    </row>
    <row r="166" ht="15.75" customHeight="1">
      <c r="E166" s="159"/>
    </row>
    <row r="167" ht="15.75" customHeight="1">
      <c r="E167" s="159"/>
    </row>
    <row r="168" ht="15.75" customHeight="1">
      <c r="E168" s="159"/>
    </row>
    <row r="169" ht="15.75" customHeight="1">
      <c r="E169" s="159"/>
    </row>
    <row r="170" ht="15.75" customHeight="1">
      <c r="E170" s="159"/>
    </row>
    <row r="171" ht="15.75" customHeight="1">
      <c r="E171" s="159"/>
    </row>
    <row r="172" ht="15.75" customHeight="1">
      <c r="E172" s="159"/>
    </row>
    <row r="173" ht="15.75" customHeight="1">
      <c r="E173" s="159"/>
    </row>
    <row r="174" ht="15.75" customHeight="1">
      <c r="E174" s="159"/>
    </row>
    <row r="175" ht="15.75" customHeight="1">
      <c r="E175" s="159"/>
    </row>
    <row r="176" ht="15.75" customHeight="1">
      <c r="E176" s="159"/>
    </row>
    <row r="177" ht="15.75" customHeight="1">
      <c r="E177" s="159"/>
    </row>
    <row r="178" ht="15.75" customHeight="1">
      <c r="E178" s="159"/>
    </row>
    <row r="179" ht="15.75" customHeight="1">
      <c r="E179" s="159"/>
    </row>
    <row r="180" ht="15.75" customHeight="1">
      <c r="E180" s="159"/>
    </row>
    <row r="181" ht="15.75" customHeight="1">
      <c r="E181" s="159"/>
    </row>
    <row r="182" ht="15.75" customHeight="1">
      <c r="E182" s="159"/>
    </row>
    <row r="183" ht="15.75" customHeight="1">
      <c r="E183" s="159"/>
    </row>
    <row r="184" ht="15.75" customHeight="1">
      <c r="E184" s="159"/>
    </row>
    <row r="185" ht="15.75" customHeight="1">
      <c r="E185" s="159"/>
    </row>
    <row r="186" ht="15.75" customHeight="1">
      <c r="E186" s="159"/>
    </row>
    <row r="187" ht="15.75" customHeight="1">
      <c r="E187" s="159"/>
    </row>
    <row r="188" ht="15.75" customHeight="1">
      <c r="E188" s="159"/>
    </row>
    <row r="189" ht="15.75" customHeight="1">
      <c r="E189" s="159"/>
    </row>
    <row r="190" ht="15.75" customHeight="1">
      <c r="E190" s="159"/>
    </row>
    <row r="191" ht="15.75" customHeight="1">
      <c r="E191" s="159"/>
    </row>
    <row r="192" ht="15.75" customHeight="1">
      <c r="E192" s="159"/>
    </row>
    <row r="193" ht="15.75" customHeight="1">
      <c r="E193" s="159"/>
    </row>
    <row r="194" ht="15.75" customHeight="1">
      <c r="E194" s="159"/>
    </row>
    <row r="195" ht="15.75" customHeight="1">
      <c r="E195" s="159"/>
    </row>
    <row r="196" ht="15.75" customHeight="1">
      <c r="E196" s="159"/>
    </row>
    <row r="197" ht="15.75" customHeight="1">
      <c r="E197" s="159"/>
    </row>
    <row r="198" ht="15.75" customHeight="1">
      <c r="E198" s="159"/>
    </row>
    <row r="199" ht="15.75" customHeight="1">
      <c r="E199" s="159"/>
    </row>
    <row r="200" ht="15.75" customHeight="1">
      <c r="E200" s="159"/>
    </row>
    <row r="201" ht="15.75" customHeight="1">
      <c r="E201" s="159"/>
    </row>
    <row r="202" ht="15.75" customHeight="1">
      <c r="E202" s="159"/>
    </row>
    <row r="203" ht="15.75" customHeight="1">
      <c r="E203" s="159"/>
    </row>
    <row r="204" ht="15.75" customHeight="1">
      <c r="E204" s="159"/>
    </row>
    <row r="205" ht="15.75" customHeight="1">
      <c r="E205" s="159"/>
    </row>
    <row r="206" ht="15.75" customHeight="1">
      <c r="E206" s="159"/>
    </row>
    <row r="207" ht="15.75" customHeight="1">
      <c r="E207" s="159"/>
    </row>
    <row r="208" ht="15.75" customHeight="1">
      <c r="E208" s="159"/>
    </row>
    <row r="209" ht="15.75" customHeight="1">
      <c r="E209" s="159"/>
    </row>
    <row r="210" ht="15.75" customHeight="1">
      <c r="E210" s="159"/>
    </row>
    <row r="211" ht="15.75" customHeight="1">
      <c r="E211" s="159"/>
    </row>
    <row r="212" ht="15.75" customHeight="1">
      <c r="E212" s="159"/>
    </row>
    <row r="213" ht="15.75" customHeight="1">
      <c r="E213" s="159"/>
    </row>
    <row r="214" ht="15.75" customHeight="1">
      <c r="E214" s="159"/>
    </row>
    <row r="215" ht="15.75" customHeight="1">
      <c r="E215" s="159"/>
    </row>
    <row r="216" ht="15.75" customHeight="1">
      <c r="E216" s="159"/>
    </row>
    <row r="217" ht="15.75" customHeight="1">
      <c r="E217" s="159"/>
    </row>
    <row r="218" ht="15.75" customHeight="1">
      <c r="E218" s="159"/>
    </row>
    <row r="219" ht="15.75" customHeight="1">
      <c r="E219" s="159"/>
    </row>
    <row r="220" ht="15.75" customHeight="1">
      <c r="E220" s="159"/>
    </row>
    <row r="221" ht="15.75" customHeight="1">
      <c r="E221" s="159"/>
    </row>
    <row r="222" ht="15.75" customHeight="1">
      <c r="E222" s="159"/>
    </row>
    <row r="223" ht="15.75" customHeight="1">
      <c r="E223" s="159"/>
    </row>
    <row r="224" ht="15.75" customHeight="1">
      <c r="E224" s="159"/>
    </row>
    <row r="225" ht="15.75" customHeight="1">
      <c r="E225" s="159"/>
    </row>
    <row r="226" ht="15.75" customHeight="1">
      <c r="E226" s="159"/>
    </row>
    <row r="227" ht="15.75" customHeight="1">
      <c r="E227" s="159"/>
    </row>
    <row r="228" ht="15.75" customHeight="1">
      <c r="E228" s="159"/>
    </row>
    <row r="229" ht="15.75" customHeight="1">
      <c r="E229" s="159"/>
    </row>
    <row r="230" ht="15.75" customHeight="1">
      <c r="E230" s="159"/>
    </row>
    <row r="231" ht="15.75" customHeight="1">
      <c r="E231" s="159"/>
    </row>
    <row r="232" ht="15.75" customHeight="1">
      <c r="E232" s="159"/>
    </row>
    <row r="233" ht="15.75" customHeight="1">
      <c r="E233" s="159"/>
    </row>
    <row r="234" ht="15.75" customHeight="1">
      <c r="E234" s="159"/>
    </row>
    <row r="235" ht="15.75" customHeight="1">
      <c r="E235" s="159"/>
    </row>
    <row r="236" ht="15.75" customHeight="1">
      <c r="E236" s="159"/>
    </row>
    <row r="237" ht="15.75" customHeight="1">
      <c r="E237" s="159"/>
    </row>
    <row r="238" ht="15.75" customHeight="1">
      <c r="E238" s="159"/>
    </row>
    <row r="239" ht="15.75" customHeight="1">
      <c r="E239" s="159"/>
    </row>
    <row r="240" ht="15.75" customHeight="1">
      <c r="E240" s="159"/>
    </row>
    <row r="241" ht="15.75" customHeight="1">
      <c r="E241" s="159"/>
    </row>
    <row r="242" ht="15.75" customHeight="1">
      <c r="E242" s="159"/>
    </row>
    <row r="243" ht="15.75" customHeight="1">
      <c r="E243" s="159"/>
    </row>
    <row r="244" ht="15.75" customHeight="1">
      <c r="E244" s="159"/>
    </row>
    <row r="245" ht="15.75" customHeight="1">
      <c r="E245" s="159"/>
    </row>
    <row r="246" ht="15.75" customHeight="1">
      <c r="E246" s="159"/>
    </row>
    <row r="247" ht="15.75" customHeight="1">
      <c r="E247" s="159"/>
    </row>
    <row r="248" ht="15.75" customHeight="1">
      <c r="E248" s="159"/>
    </row>
    <row r="249" ht="15.75" customHeight="1">
      <c r="E249" s="159"/>
    </row>
    <row r="250" ht="15.75" customHeight="1">
      <c r="E250" s="159"/>
    </row>
    <row r="251" ht="15.75" customHeight="1">
      <c r="E251" s="159"/>
    </row>
    <row r="252" ht="15.75" customHeight="1">
      <c r="E252" s="159"/>
    </row>
    <row r="253" ht="15.75" customHeight="1">
      <c r="E253" s="159"/>
    </row>
    <row r="254" ht="15.75" customHeight="1">
      <c r="E254" s="159"/>
    </row>
    <row r="255" ht="15.75" customHeight="1">
      <c r="E255" s="159"/>
    </row>
    <row r="256" ht="15.75" customHeight="1">
      <c r="E256" s="159"/>
    </row>
    <row r="257" ht="15.75" customHeight="1">
      <c r="E257" s="159"/>
    </row>
    <row r="258" ht="15.75" customHeight="1">
      <c r="E258" s="159"/>
    </row>
    <row r="259" ht="15.75" customHeight="1">
      <c r="E259" s="159"/>
    </row>
    <row r="260" ht="15.75" customHeight="1">
      <c r="E260" s="159"/>
    </row>
    <row r="261" ht="15.75" customHeight="1">
      <c r="E261" s="159"/>
    </row>
    <row r="262" ht="15.75" customHeight="1">
      <c r="E262" s="159"/>
    </row>
    <row r="263" ht="15.75" customHeight="1">
      <c r="E263" s="159"/>
    </row>
    <row r="264" ht="15.75" customHeight="1">
      <c r="E264" s="159"/>
    </row>
    <row r="265" ht="15.75" customHeight="1">
      <c r="E265" s="159"/>
    </row>
    <row r="266" ht="15.75" customHeight="1">
      <c r="E266" s="159"/>
    </row>
    <row r="267" ht="15.75" customHeight="1">
      <c r="E267" s="159"/>
    </row>
    <row r="268" ht="15.75" customHeight="1">
      <c r="E268" s="159"/>
    </row>
    <row r="269" ht="15.75" customHeight="1">
      <c r="E269" s="159"/>
    </row>
    <row r="270" ht="15.75" customHeight="1">
      <c r="E270" s="159"/>
    </row>
    <row r="271" ht="15.75" customHeight="1">
      <c r="E271" s="159"/>
    </row>
    <row r="272" ht="15.75" customHeight="1">
      <c r="E272" s="159"/>
    </row>
    <row r="273" ht="15.75" customHeight="1">
      <c r="E273" s="159"/>
    </row>
    <row r="274" ht="15.75" customHeight="1">
      <c r="E274" s="159"/>
    </row>
    <row r="275" ht="15.75" customHeight="1">
      <c r="E275" s="159"/>
    </row>
    <row r="276" ht="15.75" customHeight="1">
      <c r="E276" s="159"/>
    </row>
    <row r="277" ht="15.75" customHeight="1">
      <c r="E277" s="159"/>
    </row>
    <row r="278" ht="15.75" customHeight="1">
      <c r="E278" s="159"/>
    </row>
    <row r="279" ht="15.75" customHeight="1">
      <c r="E279" s="159"/>
    </row>
    <row r="280" ht="15.75" customHeight="1">
      <c r="E280" s="159"/>
    </row>
    <row r="281" ht="15.75" customHeight="1">
      <c r="E281" s="159"/>
    </row>
    <row r="282" ht="15.75" customHeight="1">
      <c r="E282" s="159"/>
    </row>
    <row r="283" ht="15.75" customHeight="1">
      <c r="E283" s="159"/>
    </row>
    <row r="284" ht="15.75" customHeight="1">
      <c r="E284" s="159"/>
    </row>
    <row r="285" ht="15.75" customHeight="1">
      <c r="E285" s="159"/>
    </row>
    <row r="286" ht="15.75" customHeight="1">
      <c r="E286" s="159"/>
    </row>
    <row r="287" ht="15.75" customHeight="1">
      <c r="E287" s="159"/>
    </row>
    <row r="288" ht="15.75" customHeight="1">
      <c r="E288" s="159"/>
    </row>
    <row r="289" ht="15.75" customHeight="1">
      <c r="E289" s="159"/>
    </row>
    <row r="290" ht="15.75" customHeight="1">
      <c r="E290" s="159"/>
    </row>
    <row r="291" ht="15.75" customHeight="1">
      <c r="E291" s="159"/>
    </row>
    <row r="292" ht="15.75" customHeight="1">
      <c r="E292" s="159"/>
    </row>
    <row r="293" ht="15.75" customHeight="1">
      <c r="E293" s="159"/>
    </row>
    <row r="294" ht="15.75" customHeight="1">
      <c r="E294" s="159"/>
    </row>
    <row r="295" ht="15.75" customHeight="1">
      <c r="E295" s="159"/>
    </row>
    <row r="296" ht="15.75" customHeight="1">
      <c r="E296" s="159"/>
    </row>
    <row r="297" ht="15.75" customHeight="1">
      <c r="E297" s="159"/>
    </row>
    <row r="298" ht="15.75" customHeight="1">
      <c r="E298" s="159"/>
    </row>
    <row r="299" ht="15.75" customHeight="1">
      <c r="E299" s="159"/>
    </row>
    <row r="300" ht="15.75" customHeight="1">
      <c r="E300" s="159"/>
    </row>
    <row r="301" ht="15.75" customHeight="1">
      <c r="E301" s="159"/>
    </row>
    <row r="302" ht="15.75" customHeight="1">
      <c r="E302" s="159"/>
    </row>
    <row r="303" ht="15.75" customHeight="1">
      <c r="E303" s="159"/>
    </row>
    <row r="304" ht="15.75" customHeight="1">
      <c r="E304" s="159"/>
    </row>
    <row r="305" ht="15.75" customHeight="1">
      <c r="E305" s="159"/>
    </row>
    <row r="306" ht="15.75" customHeight="1">
      <c r="E306" s="159"/>
    </row>
    <row r="307" ht="15.75" customHeight="1">
      <c r="E307" s="159"/>
    </row>
    <row r="308" ht="15.75" customHeight="1">
      <c r="E308" s="159"/>
    </row>
    <row r="309" ht="15.75" customHeight="1">
      <c r="E309" s="159"/>
    </row>
    <row r="310" ht="15.75" customHeight="1">
      <c r="E310" s="159"/>
    </row>
    <row r="311" ht="15.75" customHeight="1">
      <c r="E311" s="159"/>
    </row>
    <row r="312" ht="15.75" customHeight="1">
      <c r="E312" s="159"/>
    </row>
    <row r="313" ht="15.75" customHeight="1">
      <c r="E313" s="159"/>
    </row>
    <row r="314" ht="15.75" customHeight="1">
      <c r="E314" s="159"/>
    </row>
    <row r="315" ht="15.75" customHeight="1">
      <c r="E315" s="159"/>
    </row>
    <row r="316" ht="15.75" customHeight="1">
      <c r="E316" s="159"/>
    </row>
    <row r="317" ht="15.75" customHeight="1">
      <c r="E317" s="159"/>
    </row>
    <row r="318" ht="15.75" customHeight="1">
      <c r="E318" s="159"/>
    </row>
    <row r="319" ht="15.75" customHeight="1">
      <c r="E319" s="159"/>
    </row>
    <row r="320" ht="15.75" customHeight="1">
      <c r="E320" s="159"/>
    </row>
    <row r="321" ht="15.75" customHeight="1">
      <c r="E321" s="159"/>
    </row>
    <row r="322" ht="15.75" customHeight="1">
      <c r="E322" s="159"/>
    </row>
    <row r="323" ht="15.75" customHeight="1">
      <c r="E323" s="159"/>
    </row>
    <row r="324" ht="15.75" customHeight="1">
      <c r="E324" s="159"/>
    </row>
    <row r="325" ht="15.75" customHeight="1">
      <c r="E325" s="159"/>
    </row>
    <row r="326" ht="15.75" customHeight="1">
      <c r="E326" s="159"/>
    </row>
    <row r="327" ht="15.75" customHeight="1">
      <c r="E327" s="159"/>
    </row>
    <row r="328" ht="15.75" customHeight="1">
      <c r="E328" s="159"/>
    </row>
    <row r="329" ht="15.75" customHeight="1">
      <c r="E329" s="159"/>
    </row>
    <row r="330" ht="15.75" customHeight="1">
      <c r="E330" s="159"/>
    </row>
    <row r="331" ht="15.75" customHeight="1">
      <c r="E331" s="159"/>
    </row>
    <row r="332" ht="15.75" customHeight="1">
      <c r="E332" s="159"/>
    </row>
    <row r="333" ht="15.75" customHeight="1">
      <c r="E333" s="159"/>
    </row>
    <row r="334" ht="15.75" customHeight="1">
      <c r="E334" s="159"/>
    </row>
    <row r="335" ht="15.75" customHeight="1">
      <c r="E335" s="159"/>
    </row>
    <row r="336" ht="15.75" customHeight="1">
      <c r="E336" s="159"/>
    </row>
    <row r="337" ht="15.75" customHeight="1">
      <c r="E337" s="159"/>
    </row>
    <row r="338" ht="15.75" customHeight="1">
      <c r="E338" s="159"/>
    </row>
    <row r="339" ht="15.75" customHeight="1">
      <c r="E339" s="159"/>
    </row>
    <row r="340" ht="15.75" customHeight="1">
      <c r="E340" s="159"/>
    </row>
    <row r="341" ht="15.75" customHeight="1">
      <c r="E341" s="159"/>
    </row>
    <row r="342" ht="15.75" customHeight="1">
      <c r="E342" s="159"/>
    </row>
    <row r="343" ht="15.75" customHeight="1">
      <c r="E343" s="159"/>
    </row>
    <row r="344" ht="15.75" customHeight="1">
      <c r="E344" s="159"/>
    </row>
    <row r="345" ht="15.75" customHeight="1">
      <c r="E345" s="159"/>
    </row>
    <row r="346" ht="15.75" customHeight="1">
      <c r="E346" s="159"/>
    </row>
    <row r="347" ht="15.75" customHeight="1">
      <c r="E347" s="159"/>
    </row>
    <row r="348" ht="15.75" customHeight="1">
      <c r="E348" s="159"/>
    </row>
    <row r="349" ht="15.75" customHeight="1">
      <c r="E349" s="159"/>
    </row>
    <row r="350" ht="15.75" customHeight="1">
      <c r="E350" s="159"/>
    </row>
    <row r="351" ht="15.75" customHeight="1">
      <c r="E351" s="159"/>
    </row>
    <row r="352" ht="15.75" customHeight="1">
      <c r="E352" s="159"/>
    </row>
    <row r="353" ht="15.75" customHeight="1">
      <c r="E353" s="159"/>
    </row>
    <row r="354" ht="15.75" customHeight="1">
      <c r="E354" s="159"/>
    </row>
    <row r="355" ht="15.75" customHeight="1">
      <c r="E355" s="159"/>
    </row>
    <row r="356" ht="15.75" customHeight="1">
      <c r="E356" s="159"/>
    </row>
    <row r="357" ht="15.75" customHeight="1">
      <c r="E357" s="159"/>
    </row>
    <row r="358" ht="15.75" customHeight="1">
      <c r="E358" s="159"/>
    </row>
    <row r="359" ht="15.75" customHeight="1">
      <c r="E359" s="159"/>
    </row>
    <row r="360" ht="15.75" customHeight="1">
      <c r="E360" s="159"/>
    </row>
    <row r="361" ht="15.75" customHeight="1">
      <c r="E361" s="159"/>
    </row>
    <row r="362" ht="15.75" customHeight="1">
      <c r="E362" s="159"/>
    </row>
    <row r="363" ht="15.75" customHeight="1">
      <c r="E363" s="159"/>
    </row>
    <row r="364" ht="15.75" customHeight="1">
      <c r="E364" s="159"/>
    </row>
    <row r="365" ht="15.75" customHeight="1">
      <c r="E365" s="159"/>
    </row>
    <row r="366" ht="15.75" customHeight="1">
      <c r="E366" s="159"/>
    </row>
    <row r="367" ht="15.75" customHeight="1">
      <c r="E367" s="159"/>
    </row>
    <row r="368" ht="15.75" customHeight="1">
      <c r="E368" s="159"/>
    </row>
    <row r="369" ht="15.75" customHeight="1">
      <c r="E369" s="159"/>
    </row>
    <row r="370" ht="15.75" customHeight="1">
      <c r="E370" s="159"/>
    </row>
    <row r="371" ht="15.75" customHeight="1">
      <c r="E371" s="159"/>
    </row>
    <row r="372" ht="15.75" customHeight="1">
      <c r="E372" s="159"/>
    </row>
    <row r="373" ht="15.75" customHeight="1">
      <c r="E373" s="159"/>
    </row>
    <row r="374" ht="15.75" customHeight="1">
      <c r="E374" s="159"/>
    </row>
    <row r="375" ht="15.75" customHeight="1">
      <c r="E375" s="159"/>
    </row>
    <row r="376" ht="15.75" customHeight="1">
      <c r="E376" s="159"/>
    </row>
    <row r="377" ht="15.75" customHeight="1">
      <c r="E377" s="159"/>
    </row>
    <row r="378" ht="15.75" customHeight="1">
      <c r="E378" s="159"/>
    </row>
    <row r="379" ht="15.75" customHeight="1">
      <c r="E379" s="159"/>
    </row>
    <row r="380" ht="15.75" customHeight="1">
      <c r="E380" s="159"/>
    </row>
    <row r="381" ht="15.75" customHeight="1">
      <c r="E381" s="159"/>
    </row>
    <row r="382" ht="15.75" customHeight="1">
      <c r="E382" s="159"/>
    </row>
    <row r="383" ht="15.75" customHeight="1">
      <c r="E383" s="159"/>
    </row>
    <row r="384" ht="15.75" customHeight="1">
      <c r="E384" s="159"/>
    </row>
    <row r="385" ht="15.75" customHeight="1">
      <c r="E385" s="159"/>
    </row>
    <row r="386" ht="15.75" customHeight="1">
      <c r="E386" s="159"/>
    </row>
    <row r="387" ht="15.75" customHeight="1">
      <c r="E387" s="159"/>
    </row>
    <row r="388" ht="15.75" customHeight="1">
      <c r="E388" s="159"/>
    </row>
    <row r="389" ht="15.75" customHeight="1">
      <c r="E389" s="159"/>
    </row>
    <row r="390" ht="15.75" customHeight="1">
      <c r="E390" s="159"/>
    </row>
    <row r="391" ht="15.75" customHeight="1">
      <c r="E391" s="159"/>
    </row>
    <row r="392" ht="15.75" customHeight="1">
      <c r="E392" s="159"/>
    </row>
    <row r="393" ht="15.75" customHeight="1">
      <c r="E393" s="159"/>
    </row>
    <row r="394" ht="15.75" customHeight="1">
      <c r="E394" s="159"/>
    </row>
    <row r="395" ht="15.75" customHeight="1">
      <c r="E395" s="159"/>
    </row>
    <row r="396" ht="15.75" customHeight="1">
      <c r="E396" s="159"/>
    </row>
    <row r="397" ht="15.75" customHeight="1">
      <c r="E397" s="159"/>
    </row>
    <row r="398" ht="15.75" customHeight="1">
      <c r="E398" s="159"/>
    </row>
    <row r="399" ht="15.75" customHeight="1">
      <c r="E399" s="159"/>
    </row>
    <row r="400" ht="15.75" customHeight="1">
      <c r="E400" s="159"/>
    </row>
    <row r="401" ht="15.75" customHeight="1">
      <c r="E401" s="159"/>
    </row>
    <row r="402" ht="15.75" customHeight="1">
      <c r="E402" s="159"/>
    </row>
    <row r="403" ht="15.75" customHeight="1">
      <c r="E403" s="159"/>
    </row>
    <row r="404" ht="15.75" customHeight="1">
      <c r="E404" s="159"/>
    </row>
    <row r="405" ht="15.75" customHeight="1">
      <c r="E405" s="159"/>
    </row>
    <row r="406" ht="15.75" customHeight="1">
      <c r="E406" s="159"/>
    </row>
    <row r="407" ht="15.75" customHeight="1">
      <c r="E407" s="159"/>
    </row>
    <row r="408" ht="15.75" customHeight="1">
      <c r="E408" s="159"/>
    </row>
    <row r="409" ht="15.75" customHeight="1">
      <c r="E409" s="159"/>
    </row>
    <row r="410" ht="15.75" customHeight="1">
      <c r="E410" s="159"/>
    </row>
    <row r="411" ht="15.75" customHeight="1">
      <c r="E411" s="159"/>
    </row>
    <row r="412" ht="15.75" customHeight="1">
      <c r="E412" s="159"/>
    </row>
    <row r="413" ht="15.75" customHeight="1">
      <c r="E413" s="159"/>
    </row>
    <row r="414" ht="15.75" customHeight="1">
      <c r="E414" s="159"/>
    </row>
    <row r="415" ht="15.75" customHeight="1">
      <c r="E415" s="159"/>
    </row>
    <row r="416" ht="15.75" customHeight="1">
      <c r="E416" s="159"/>
    </row>
    <row r="417" ht="15.75" customHeight="1">
      <c r="E417" s="159"/>
    </row>
    <row r="418" ht="15.75" customHeight="1">
      <c r="E418" s="159"/>
    </row>
    <row r="419" ht="15.75" customHeight="1">
      <c r="E419" s="159"/>
    </row>
    <row r="420" ht="15.75" customHeight="1">
      <c r="E420" s="159"/>
    </row>
    <row r="421" ht="15.75" customHeight="1">
      <c r="E421" s="159"/>
    </row>
    <row r="422" ht="15.75" customHeight="1">
      <c r="E422" s="159"/>
    </row>
    <row r="423" ht="15.75" customHeight="1">
      <c r="E423" s="159"/>
    </row>
    <row r="424" ht="15.75" customHeight="1">
      <c r="E424" s="159"/>
    </row>
    <row r="425" ht="15.75" customHeight="1">
      <c r="E425" s="159"/>
    </row>
    <row r="426" ht="15.75" customHeight="1">
      <c r="E426" s="159"/>
    </row>
    <row r="427" ht="15.75" customHeight="1">
      <c r="E427" s="159"/>
    </row>
    <row r="428" ht="15.75" customHeight="1">
      <c r="E428" s="159"/>
    </row>
    <row r="429" ht="15.75" customHeight="1">
      <c r="E429" s="159"/>
    </row>
    <row r="430" ht="15.75" customHeight="1">
      <c r="E430" s="159"/>
    </row>
    <row r="431" ht="15.75" customHeight="1">
      <c r="E431" s="159"/>
    </row>
    <row r="432" ht="15.75" customHeight="1">
      <c r="E432" s="159"/>
    </row>
    <row r="433" ht="15.75" customHeight="1">
      <c r="E433" s="159"/>
    </row>
    <row r="434" ht="15.75" customHeight="1">
      <c r="E434" s="159"/>
    </row>
    <row r="435" ht="15.75" customHeight="1">
      <c r="E435" s="159"/>
    </row>
    <row r="436" ht="15.75" customHeight="1">
      <c r="E436" s="159"/>
    </row>
    <row r="437" ht="15.75" customHeight="1">
      <c r="E437" s="159"/>
    </row>
    <row r="438" ht="15.75" customHeight="1">
      <c r="E438" s="159"/>
    </row>
    <row r="439" ht="15.75" customHeight="1">
      <c r="E439" s="159"/>
    </row>
    <row r="440" ht="15.75" customHeight="1">
      <c r="E440" s="159"/>
    </row>
    <row r="441" ht="15.75" customHeight="1">
      <c r="E441" s="159"/>
    </row>
    <row r="442" ht="15.75" customHeight="1">
      <c r="E442" s="159"/>
    </row>
    <row r="443" ht="15.75" customHeight="1">
      <c r="E443" s="159"/>
    </row>
    <row r="444" ht="15.75" customHeight="1">
      <c r="E444" s="159"/>
    </row>
    <row r="445" ht="15.75" customHeight="1">
      <c r="E445" s="159"/>
    </row>
    <row r="446" ht="15.75" customHeight="1">
      <c r="E446" s="159"/>
    </row>
    <row r="447" ht="15.75" customHeight="1">
      <c r="E447" s="159"/>
    </row>
    <row r="448" ht="15.75" customHeight="1">
      <c r="E448" s="159"/>
    </row>
    <row r="449" ht="15.75" customHeight="1">
      <c r="E449" s="159"/>
    </row>
    <row r="450" ht="15.75" customHeight="1">
      <c r="E450" s="159"/>
    </row>
    <row r="451" ht="15.75" customHeight="1">
      <c r="E451" s="159"/>
    </row>
    <row r="452" ht="15.75" customHeight="1">
      <c r="E452" s="159"/>
    </row>
    <row r="453" ht="15.75" customHeight="1">
      <c r="E453" s="159"/>
    </row>
    <row r="454" ht="15.75" customHeight="1">
      <c r="E454" s="159"/>
    </row>
    <row r="455" ht="15.75" customHeight="1">
      <c r="E455" s="159"/>
    </row>
    <row r="456" ht="15.75" customHeight="1">
      <c r="E456" s="159"/>
    </row>
    <row r="457" ht="15.75" customHeight="1">
      <c r="E457" s="159"/>
    </row>
    <row r="458" ht="15.75" customHeight="1">
      <c r="E458" s="159"/>
    </row>
    <row r="459" ht="15.75" customHeight="1">
      <c r="E459" s="159"/>
    </row>
    <row r="460" ht="15.75" customHeight="1">
      <c r="E460" s="159"/>
    </row>
    <row r="461" ht="15.75" customHeight="1">
      <c r="E461" s="159"/>
    </row>
    <row r="462" ht="15.75" customHeight="1">
      <c r="E462" s="159"/>
    </row>
    <row r="463" ht="15.75" customHeight="1">
      <c r="E463" s="159"/>
    </row>
    <row r="464" ht="15.75" customHeight="1">
      <c r="E464" s="159"/>
    </row>
    <row r="465" ht="15.75" customHeight="1">
      <c r="E465" s="159"/>
    </row>
    <row r="466" ht="15.75" customHeight="1">
      <c r="E466" s="159"/>
    </row>
    <row r="467" ht="15.75" customHeight="1">
      <c r="E467" s="159"/>
    </row>
    <row r="468" ht="15.75" customHeight="1">
      <c r="E468" s="159"/>
    </row>
    <row r="469" ht="15.75" customHeight="1">
      <c r="E469" s="159"/>
    </row>
    <row r="470" ht="15.75" customHeight="1">
      <c r="E470" s="159"/>
    </row>
    <row r="471" ht="15.75" customHeight="1">
      <c r="E471" s="159"/>
    </row>
    <row r="472" ht="15.75" customHeight="1">
      <c r="E472" s="159"/>
    </row>
    <row r="473" ht="15.75" customHeight="1">
      <c r="E473" s="159"/>
    </row>
    <row r="474" ht="15.75" customHeight="1">
      <c r="E474" s="159"/>
    </row>
    <row r="475" ht="15.75" customHeight="1">
      <c r="E475" s="159"/>
    </row>
    <row r="476" ht="15.75" customHeight="1">
      <c r="E476" s="159"/>
    </row>
    <row r="477" ht="15.75" customHeight="1">
      <c r="E477" s="159"/>
    </row>
    <row r="478" ht="15.75" customHeight="1">
      <c r="E478" s="159"/>
    </row>
    <row r="479" ht="15.75" customHeight="1">
      <c r="E479" s="159"/>
    </row>
    <row r="480" ht="15.75" customHeight="1">
      <c r="E480" s="159"/>
    </row>
    <row r="481" ht="15.75" customHeight="1">
      <c r="E481" s="159"/>
    </row>
    <row r="482" ht="15.75" customHeight="1">
      <c r="E482" s="159"/>
    </row>
    <row r="483" ht="15.75" customHeight="1">
      <c r="E483" s="159"/>
    </row>
    <row r="484" ht="15.75" customHeight="1">
      <c r="E484" s="159"/>
    </row>
    <row r="485" ht="15.75" customHeight="1">
      <c r="E485" s="159"/>
    </row>
    <row r="486" ht="15.75" customHeight="1">
      <c r="E486" s="159"/>
    </row>
    <row r="487" ht="15.75" customHeight="1">
      <c r="E487" s="159"/>
    </row>
    <row r="488" ht="15.75" customHeight="1">
      <c r="E488" s="159"/>
    </row>
    <row r="489" ht="15.75" customHeight="1">
      <c r="E489" s="159"/>
    </row>
    <row r="490" ht="15.75" customHeight="1">
      <c r="E490" s="159"/>
    </row>
    <row r="491" ht="15.75" customHeight="1">
      <c r="E491" s="159"/>
    </row>
    <row r="492" ht="15.75" customHeight="1">
      <c r="E492" s="159"/>
    </row>
    <row r="493" ht="15.75" customHeight="1">
      <c r="E493" s="159"/>
    </row>
    <row r="494" ht="15.75" customHeight="1">
      <c r="E494" s="159"/>
    </row>
    <row r="495" ht="15.75" customHeight="1">
      <c r="E495" s="159"/>
    </row>
    <row r="496" ht="15.75" customHeight="1">
      <c r="E496" s="159"/>
    </row>
    <row r="497" ht="15.75" customHeight="1">
      <c r="E497" s="159"/>
    </row>
    <row r="498" ht="15.75" customHeight="1">
      <c r="E498" s="159"/>
    </row>
    <row r="499" ht="15.75" customHeight="1">
      <c r="E499" s="159"/>
    </row>
    <row r="500" ht="15.75" customHeight="1">
      <c r="E500" s="159"/>
    </row>
    <row r="501" ht="15.75" customHeight="1">
      <c r="E501" s="159"/>
    </row>
    <row r="502" ht="15.75" customHeight="1">
      <c r="E502" s="159"/>
    </row>
    <row r="503" ht="15.75" customHeight="1">
      <c r="E503" s="159"/>
    </row>
    <row r="504" ht="15.75" customHeight="1">
      <c r="E504" s="159"/>
    </row>
    <row r="505" ht="15.75" customHeight="1">
      <c r="E505" s="159"/>
    </row>
    <row r="506" ht="15.75" customHeight="1">
      <c r="E506" s="159"/>
    </row>
    <row r="507" ht="15.75" customHeight="1">
      <c r="E507" s="159"/>
    </row>
    <row r="508" ht="15.75" customHeight="1">
      <c r="E508" s="159"/>
    </row>
    <row r="509" ht="15.75" customHeight="1">
      <c r="E509" s="159"/>
    </row>
    <row r="510" ht="15.75" customHeight="1">
      <c r="E510" s="159"/>
    </row>
    <row r="511" ht="15.75" customHeight="1">
      <c r="E511" s="159"/>
    </row>
    <row r="512" ht="15.75" customHeight="1">
      <c r="E512" s="159"/>
    </row>
    <row r="513" ht="15.75" customHeight="1">
      <c r="E513" s="159"/>
    </row>
    <row r="514" ht="15.75" customHeight="1">
      <c r="E514" s="159"/>
    </row>
    <row r="515" ht="15.75" customHeight="1">
      <c r="E515" s="159"/>
    </row>
    <row r="516" ht="15.75" customHeight="1">
      <c r="E516" s="159"/>
    </row>
    <row r="517" ht="15.75" customHeight="1">
      <c r="E517" s="159"/>
    </row>
    <row r="518" ht="15.75" customHeight="1">
      <c r="E518" s="159"/>
    </row>
    <row r="519" ht="15.75" customHeight="1">
      <c r="E519" s="159"/>
    </row>
    <row r="520" ht="15.75" customHeight="1">
      <c r="E520" s="159"/>
    </row>
    <row r="521" ht="15.75" customHeight="1">
      <c r="E521" s="159"/>
    </row>
    <row r="522" ht="15.75" customHeight="1">
      <c r="E522" s="159"/>
    </row>
    <row r="523" ht="15.75" customHeight="1">
      <c r="E523" s="159"/>
    </row>
    <row r="524" ht="15.75" customHeight="1">
      <c r="E524" s="159"/>
    </row>
    <row r="525" ht="15.75" customHeight="1">
      <c r="E525" s="159"/>
    </row>
    <row r="526" ht="15.75" customHeight="1">
      <c r="E526" s="159"/>
    </row>
    <row r="527" ht="15.75" customHeight="1">
      <c r="E527" s="159"/>
    </row>
    <row r="528" ht="15.75" customHeight="1">
      <c r="E528" s="159"/>
    </row>
    <row r="529" ht="15.75" customHeight="1">
      <c r="E529" s="159"/>
    </row>
    <row r="530" ht="15.75" customHeight="1">
      <c r="E530" s="159"/>
    </row>
    <row r="531" ht="15.75" customHeight="1">
      <c r="E531" s="159"/>
    </row>
    <row r="532" ht="15.75" customHeight="1">
      <c r="E532" s="159"/>
    </row>
    <row r="533" ht="15.75" customHeight="1">
      <c r="E533" s="159"/>
    </row>
    <row r="534" ht="15.75" customHeight="1">
      <c r="E534" s="159"/>
    </row>
    <row r="535" ht="15.75" customHeight="1">
      <c r="E535" s="159"/>
    </row>
    <row r="536" ht="15.75" customHeight="1">
      <c r="E536" s="159"/>
    </row>
    <row r="537" ht="15.75" customHeight="1">
      <c r="E537" s="159"/>
    </row>
    <row r="538" ht="15.75" customHeight="1">
      <c r="E538" s="159"/>
    </row>
    <row r="539" ht="15.75" customHeight="1">
      <c r="E539" s="159"/>
    </row>
    <row r="540" ht="15.75" customHeight="1">
      <c r="E540" s="159"/>
    </row>
    <row r="541" ht="15.75" customHeight="1">
      <c r="E541" s="159"/>
    </row>
    <row r="542" ht="15.75" customHeight="1">
      <c r="E542" s="159"/>
    </row>
    <row r="543" ht="15.75" customHeight="1">
      <c r="E543" s="159"/>
    </row>
    <row r="544" ht="15.75" customHeight="1">
      <c r="E544" s="159"/>
    </row>
    <row r="545" ht="15.75" customHeight="1">
      <c r="E545" s="159"/>
    </row>
    <row r="546" ht="15.75" customHeight="1">
      <c r="E546" s="159"/>
    </row>
    <row r="547" ht="15.75" customHeight="1">
      <c r="E547" s="159"/>
    </row>
    <row r="548" ht="15.75" customHeight="1">
      <c r="E548" s="159"/>
    </row>
    <row r="549" ht="15.75" customHeight="1">
      <c r="E549" s="159"/>
    </row>
    <row r="550" ht="15.75" customHeight="1">
      <c r="E550" s="159"/>
    </row>
    <row r="551" ht="15.75" customHeight="1">
      <c r="E551" s="159"/>
    </row>
    <row r="552" ht="15.75" customHeight="1">
      <c r="E552" s="159"/>
    </row>
    <row r="553" ht="15.75" customHeight="1">
      <c r="E553" s="159"/>
    </row>
    <row r="554" ht="15.75" customHeight="1">
      <c r="E554" s="159"/>
    </row>
    <row r="555" ht="15.75" customHeight="1">
      <c r="E555" s="159"/>
    </row>
    <row r="556" ht="15.75" customHeight="1">
      <c r="E556" s="159"/>
    </row>
    <row r="557" ht="15.75" customHeight="1">
      <c r="E557" s="159"/>
    </row>
    <row r="558" ht="15.75" customHeight="1">
      <c r="E558" s="159"/>
    </row>
    <row r="559" ht="15.75" customHeight="1">
      <c r="E559" s="159"/>
    </row>
    <row r="560" ht="15.75" customHeight="1">
      <c r="E560" s="159"/>
    </row>
    <row r="561" ht="15.75" customHeight="1">
      <c r="E561" s="159"/>
    </row>
    <row r="562" ht="15.75" customHeight="1">
      <c r="E562" s="159"/>
    </row>
    <row r="563" ht="15.75" customHeight="1">
      <c r="E563" s="159"/>
    </row>
    <row r="564" ht="15.75" customHeight="1">
      <c r="E564" s="159"/>
    </row>
    <row r="565" ht="15.75" customHeight="1">
      <c r="E565" s="159"/>
    </row>
    <row r="566" ht="15.75" customHeight="1">
      <c r="E566" s="159"/>
    </row>
    <row r="567" ht="15.75" customHeight="1">
      <c r="E567" s="159"/>
    </row>
    <row r="568" ht="15.75" customHeight="1">
      <c r="E568" s="159"/>
    </row>
    <row r="569" ht="15.75" customHeight="1">
      <c r="E569" s="159"/>
    </row>
    <row r="570" ht="15.75" customHeight="1">
      <c r="E570" s="159"/>
    </row>
    <row r="571" ht="15.75" customHeight="1">
      <c r="E571" s="159"/>
    </row>
    <row r="572" ht="15.75" customHeight="1">
      <c r="E572" s="159"/>
    </row>
    <row r="573" ht="15.75" customHeight="1">
      <c r="E573" s="159"/>
    </row>
    <row r="574" ht="15.75" customHeight="1">
      <c r="E574" s="159"/>
    </row>
    <row r="575" ht="15.75" customHeight="1">
      <c r="E575" s="159"/>
    </row>
    <row r="576" ht="15.75" customHeight="1">
      <c r="E576" s="159"/>
    </row>
    <row r="577" ht="15.75" customHeight="1">
      <c r="E577" s="159"/>
    </row>
    <row r="578" ht="15.75" customHeight="1">
      <c r="E578" s="159"/>
    </row>
    <row r="579" ht="15.75" customHeight="1">
      <c r="E579" s="159"/>
    </row>
    <row r="580" ht="15.75" customHeight="1">
      <c r="E580" s="159"/>
    </row>
    <row r="581" ht="15.75" customHeight="1">
      <c r="E581" s="159"/>
    </row>
    <row r="582" ht="15.75" customHeight="1">
      <c r="E582" s="159"/>
    </row>
    <row r="583" ht="15.75" customHeight="1">
      <c r="E583" s="159"/>
    </row>
    <row r="584" ht="15.75" customHeight="1">
      <c r="E584" s="159"/>
    </row>
    <row r="585" ht="15.75" customHeight="1">
      <c r="E585" s="159"/>
    </row>
    <row r="586" ht="15.75" customHeight="1">
      <c r="E586" s="159"/>
    </row>
    <row r="587" ht="15.75" customHeight="1">
      <c r="E587" s="159"/>
    </row>
    <row r="588" ht="15.75" customHeight="1">
      <c r="E588" s="159"/>
    </row>
    <row r="589" ht="15.75" customHeight="1">
      <c r="E589" s="159"/>
    </row>
    <row r="590" ht="15.75" customHeight="1">
      <c r="E590" s="159"/>
    </row>
    <row r="591" ht="15.75" customHeight="1">
      <c r="E591" s="159"/>
    </row>
    <row r="592" ht="15.75" customHeight="1">
      <c r="E592" s="159"/>
    </row>
    <row r="593" ht="15.75" customHeight="1">
      <c r="E593" s="159"/>
    </row>
    <row r="594" ht="15.75" customHeight="1">
      <c r="E594" s="159"/>
    </row>
    <row r="595" ht="15.75" customHeight="1">
      <c r="E595" s="159"/>
    </row>
    <row r="596" ht="15.75" customHeight="1">
      <c r="E596" s="159"/>
    </row>
    <row r="597" ht="15.75" customHeight="1">
      <c r="E597" s="159"/>
    </row>
    <row r="598" ht="15.75" customHeight="1">
      <c r="E598" s="159"/>
    </row>
    <row r="599" ht="15.75" customHeight="1">
      <c r="E599" s="159"/>
    </row>
    <row r="600" ht="15.75" customHeight="1">
      <c r="E600" s="159"/>
    </row>
    <row r="601" ht="15.75" customHeight="1">
      <c r="E601" s="159"/>
    </row>
    <row r="602" ht="15.75" customHeight="1">
      <c r="E602" s="159"/>
    </row>
    <row r="603" ht="15.75" customHeight="1">
      <c r="E603" s="159"/>
    </row>
    <row r="604" ht="15.75" customHeight="1">
      <c r="E604" s="159"/>
    </row>
    <row r="605" ht="15.75" customHeight="1">
      <c r="E605" s="159"/>
    </row>
    <row r="606" ht="15.75" customHeight="1">
      <c r="E606" s="159"/>
    </row>
    <row r="607" ht="15.75" customHeight="1">
      <c r="E607" s="159"/>
    </row>
    <row r="608" ht="15.75" customHeight="1">
      <c r="E608" s="159"/>
    </row>
    <row r="609" ht="15.75" customHeight="1">
      <c r="E609" s="159"/>
    </row>
    <row r="610" ht="15.75" customHeight="1">
      <c r="E610" s="159"/>
    </row>
    <row r="611" ht="15.75" customHeight="1">
      <c r="E611" s="159"/>
    </row>
    <row r="612" ht="15.75" customHeight="1">
      <c r="E612" s="159"/>
    </row>
    <row r="613" ht="15.75" customHeight="1">
      <c r="E613" s="159"/>
    </row>
    <row r="614" ht="15.75" customHeight="1">
      <c r="E614" s="159"/>
    </row>
    <row r="615" ht="15.75" customHeight="1">
      <c r="E615" s="159"/>
    </row>
    <row r="616" ht="15.75" customHeight="1">
      <c r="E616" s="159"/>
    </row>
    <row r="617" ht="15.75" customHeight="1">
      <c r="E617" s="159"/>
    </row>
    <row r="618" ht="15.75" customHeight="1">
      <c r="E618" s="159"/>
    </row>
    <row r="619" ht="15.75" customHeight="1">
      <c r="E619" s="159"/>
    </row>
    <row r="620" ht="15.75" customHeight="1">
      <c r="E620" s="159"/>
    </row>
    <row r="621" ht="15.75" customHeight="1">
      <c r="E621" s="159"/>
    </row>
    <row r="622" ht="15.75" customHeight="1">
      <c r="E622" s="159"/>
    </row>
    <row r="623" ht="15.75" customHeight="1">
      <c r="E623" s="159"/>
    </row>
    <row r="624" ht="15.75" customHeight="1">
      <c r="E624" s="159"/>
    </row>
    <row r="625" ht="15.75" customHeight="1">
      <c r="E625" s="159"/>
    </row>
    <row r="626" ht="15.75" customHeight="1">
      <c r="E626" s="159"/>
    </row>
    <row r="627" ht="15.75" customHeight="1">
      <c r="E627" s="159"/>
    </row>
    <row r="628" ht="15.75" customHeight="1">
      <c r="E628" s="159"/>
    </row>
    <row r="629" ht="15.75" customHeight="1">
      <c r="E629" s="159"/>
    </row>
    <row r="630" ht="15.75" customHeight="1">
      <c r="E630" s="159"/>
    </row>
    <row r="631" ht="15.75" customHeight="1">
      <c r="E631" s="159"/>
    </row>
    <row r="632" ht="15.75" customHeight="1">
      <c r="E632" s="159"/>
    </row>
    <row r="633" ht="15.75" customHeight="1">
      <c r="E633" s="159"/>
    </row>
    <row r="634" ht="15.75" customHeight="1">
      <c r="E634" s="159"/>
    </row>
    <row r="635" ht="15.75" customHeight="1">
      <c r="E635" s="159"/>
    </row>
    <row r="636" ht="15.75" customHeight="1">
      <c r="E636" s="159"/>
    </row>
    <row r="637" ht="15.75" customHeight="1">
      <c r="E637" s="159"/>
    </row>
    <row r="638" ht="15.75" customHeight="1">
      <c r="E638" s="159"/>
    </row>
    <row r="639" ht="15.75" customHeight="1">
      <c r="E639" s="159"/>
    </row>
    <row r="640" ht="15.75" customHeight="1">
      <c r="E640" s="159"/>
    </row>
    <row r="641" ht="15.75" customHeight="1">
      <c r="E641" s="159"/>
    </row>
    <row r="642" ht="15.75" customHeight="1">
      <c r="E642" s="159"/>
    </row>
    <row r="643" ht="15.75" customHeight="1">
      <c r="E643" s="159"/>
    </row>
    <row r="644" ht="15.75" customHeight="1">
      <c r="E644" s="159"/>
    </row>
    <row r="645" ht="15.75" customHeight="1">
      <c r="E645" s="159"/>
    </row>
    <row r="646" ht="15.75" customHeight="1">
      <c r="E646" s="159"/>
    </row>
    <row r="647" ht="15.75" customHeight="1">
      <c r="E647" s="159"/>
    </row>
    <row r="648" ht="15.75" customHeight="1">
      <c r="E648" s="159"/>
    </row>
    <row r="649" ht="15.75" customHeight="1">
      <c r="E649" s="159"/>
    </row>
    <row r="650" ht="15.75" customHeight="1">
      <c r="E650" s="159"/>
    </row>
    <row r="651" ht="15.75" customHeight="1">
      <c r="E651" s="159"/>
    </row>
    <row r="652" ht="15.75" customHeight="1">
      <c r="E652" s="159"/>
    </row>
    <row r="653" ht="15.75" customHeight="1">
      <c r="E653" s="159"/>
    </row>
    <row r="654" ht="15.75" customHeight="1">
      <c r="E654" s="159"/>
    </row>
    <row r="655" ht="15.75" customHeight="1">
      <c r="E655" s="159"/>
    </row>
    <row r="656" ht="15.75" customHeight="1">
      <c r="E656" s="159"/>
    </row>
    <row r="657" ht="15.75" customHeight="1">
      <c r="E657" s="159"/>
    </row>
    <row r="658" ht="15.75" customHeight="1">
      <c r="E658" s="159"/>
    </row>
    <row r="659" ht="15.75" customHeight="1">
      <c r="E659" s="159"/>
    </row>
    <row r="660" ht="15.75" customHeight="1">
      <c r="E660" s="159"/>
    </row>
    <row r="661" ht="15.75" customHeight="1">
      <c r="E661" s="159"/>
    </row>
    <row r="662" ht="15.75" customHeight="1">
      <c r="E662" s="159"/>
    </row>
    <row r="663" ht="15.75" customHeight="1">
      <c r="E663" s="159"/>
    </row>
    <row r="664" ht="15.75" customHeight="1">
      <c r="E664" s="159"/>
    </row>
    <row r="665" ht="15.75" customHeight="1">
      <c r="E665" s="159"/>
    </row>
    <row r="666" ht="15.75" customHeight="1">
      <c r="E666" s="159"/>
    </row>
    <row r="667" ht="15.75" customHeight="1">
      <c r="E667" s="159"/>
    </row>
    <row r="668" ht="15.75" customHeight="1">
      <c r="E668" s="159"/>
    </row>
    <row r="669" ht="15.75" customHeight="1">
      <c r="E669" s="159"/>
    </row>
    <row r="670" ht="15.75" customHeight="1">
      <c r="E670" s="159"/>
    </row>
    <row r="671" ht="15.75" customHeight="1">
      <c r="E671" s="159"/>
    </row>
    <row r="672" ht="15.75" customHeight="1">
      <c r="E672" s="159"/>
    </row>
    <row r="673" ht="15.75" customHeight="1">
      <c r="E673" s="159"/>
    </row>
    <row r="674" ht="15.75" customHeight="1">
      <c r="E674" s="159"/>
    </row>
    <row r="675" ht="15.75" customHeight="1">
      <c r="E675" s="159"/>
    </row>
    <row r="676" ht="15.75" customHeight="1">
      <c r="E676" s="159"/>
    </row>
    <row r="677" ht="15.75" customHeight="1">
      <c r="E677" s="159"/>
    </row>
    <row r="678" ht="15.75" customHeight="1">
      <c r="E678" s="159"/>
    </row>
    <row r="679" ht="15.75" customHeight="1">
      <c r="E679" s="159"/>
    </row>
    <row r="680" ht="15.75" customHeight="1">
      <c r="E680" s="159"/>
    </row>
    <row r="681" ht="15.75" customHeight="1">
      <c r="E681" s="159"/>
    </row>
    <row r="682" ht="15.75" customHeight="1">
      <c r="E682" s="159"/>
    </row>
    <row r="683" ht="15.75" customHeight="1">
      <c r="E683" s="159"/>
    </row>
    <row r="684" ht="15.75" customHeight="1">
      <c r="E684" s="159"/>
    </row>
    <row r="685" ht="15.75" customHeight="1">
      <c r="E685" s="159"/>
    </row>
    <row r="686" ht="15.75" customHeight="1">
      <c r="E686" s="159"/>
    </row>
    <row r="687" ht="15.75" customHeight="1">
      <c r="E687" s="159"/>
    </row>
    <row r="688" ht="15.75" customHeight="1">
      <c r="E688" s="159"/>
    </row>
    <row r="689" ht="15.75" customHeight="1">
      <c r="E689" s="159"/>
    </row>
    <row r="690" ht="15.75" customHeight="1">
      <c r="E690" s="159"/>
    </row>
    <row r="691" ht="15.75" customHeight="1">
      <c r="E691" s="159"/>
    </row>
    <row r="692" ht="15.75" customHeight="1">
      <c r="E692" s="159"/>
    </row>
    <row r="693" ht="15.75" customHeight="1">
      <c r="E693" s="159"/>
    </row>
    <row r="694" ht="15.75" customHeight="1">
      <c r="E694" s="159"/>
    </row>
    <row r="695" ht="15.75" customHeight="1">
      <c r="E695" s="159"/>
    </row>
    <row r="696" ht="15.75" customHeight="1">
      <c r="E696" s="159"/>
    </row>
    <row r="697" ht="15.75" customHeight="1">
      <c r="E697" s="159"/>
    </row>
    <row r="698" ht="15.75" customHeight="1">
      <c r="E698" s="159"/>
    </row>
    <row r="699" ht="15.75" customHeight="1">
      <c r="E699" s="159"/>
    </row>
    <row r="700" ht="15.75" customHeight="1">
      <c r="E700" s="159"/>
    </row>
    <row r="701" ht="15.75" customHeight="1">
      <c r="E701" s="159"/>
    </row>
    <row r="702" ht="15.75" customHeight="1">
      <c r="E702" s="159"/>
    </row>
    <row r="703" ht="15.75" customHeight="1">
      <c r="E703" s="159"/>
    </row>
    <row r="704" ht="15.75" customHeight="1">
      <c r="E704" s="159"/>
    </row>
    <row r="705" ht="15.75" customHeight="1">
      <c r="E705" s="159"/>
    </row>
    <row r="706" ht="15.75" customHeight="1">
      <c r="E706" s="159"/>
    </row>
    <row r="707" ht="15.75" customHeight="1">
      <c r="E707" s="159"/>
    </row>
    <row r="708" ht="15.75" customHeight="1">
      <c r="E708" s="159"/>
    </row>
    <row r="709" ht="15.75" customHeight="1">
      <c r="E709" s="159"/>
    </row>
    <row r="710" ht="15.75" customHeight="1">
      <c r="E710" s="159"/>
    </row>
    <row r="711" ht="15.75" customHeight="1">
      <c r="E711" s="159"/>
    </row>
    <row r="712" ht="15.75" customHeight="1">
      <c r="E712" s="159"/>
    </row>
    <row r="713" ht="15.75" customHeight="1">
      <c r="E713" s="159"/>
    </row>
    <row r="714" ht="15.75" customHeight="1">
      <c r="E714" s="159"/>
    </row>
    <row r="715" ht="15.75" customHeight="1">
      <c r="E715" s="159"/>
    </row>
    <row r="716" ht="15.75" customHeight="1">
      <c r="E716" s="159"/>
    </row>
    <row r="717" ht="15.75" customHeight="1">
      <c r="E717" s="159"/>
    </row>
    <row r="718" ht="15.75" customHeight="1">
      <c r="E718" s="159"/>
    </row>
    <row r="719" ht="15.75" customHeight="1">
      <c r="E719" s="159"/>
    </row>
    <row r="720" ht="15.75" customHeight="1">
      <c r="E720" s="159"/>
    </row>
    <row r="721" ht="15.75" customHeight="1">
      <c r="E721" s="159"/>
    </row>
    <row r="722" ht="15.75" customHeight="1">
      <c r="E722" s="159"/>
    </row>
    <row r="723" ht="15.75" customHeight="1">
      <c r="E723" s="159"/>
    </row>
    <row r="724" ht="15.75" customHeight="1">
      <c r="E724" s="159"/>
    </row>
    <row r="725" ht="15.75" customHeight="1">
      <c r="E725" s="159"/>
    </row>
    <row r="726" ht="15.75" customHeight="1">
      <c r="E726" s="159"/>
    </row>
    <row r="727" ht="15.75" customHeight="1">
      <c r="E727" s="159"/>
    </row>
    <row r="728" ht="15.75" customHeight="1">
      <c r="E728" s="159"/>
    </row>
    <row r="729" ht="15.75" customHeight="1">
      <c r="E729" s="159"/>
    </row>
    <row r="730" ht="15.75" customHeight="1">
      <c r="E730" s="159"/>
    </row>
    <row r="731" ht="15.75" customHeight="1">
      <c r="E731" s="159"/>
    </row>
    <row r="732" ht="15.75" customHeight="1">
      <c r="E732" s="159"/>
    </row>
    <row r="733" ht="15.75" customHeight="1">
      <c r="E733" s="159"/>
    </row>
    <row r="734" ht="15.75" customHeight="1">
      <c r="E734" s="159"/>
    </row>
    <row r="735" ht="15.75" customHeight="1">
      <c r="E735" s="159"/>
    </row>
    <row r="736" ht="15.75" customHeight="1">
      <c r="E736" s="159"/>
    </row>
    <row r="737" ht="15.75" customHeight="1">
      <c r="E737" s="159"/>
    </row>
    <row r="738" ht="15.75" customHeight="1">
      <c r="E738" s="159"/>
    </row>
    <row r="739" ht="15.75" customHeight="1">
      <c r="E739" s="159"/>
    </row>
    <row r="740" ht="15.75" customHeight="1">
      <c r="E740" s="159"/>
    </row>
    <row r="741" ht="15.75" customHeight="1">
      <c r="E741" s="159"/>
    </row>
    <row r="742" ht="15.75" customHeight="1">
      <c r="E742" s="159"/>
    </row>
    <row r="743" ht="15.75" customHeight="1">
      <c r="E743" s="159"/>
    </row>
    <row r="744" ht="15.75" customHeight="1">
      <c r="E744" s="159"/>
    </row>
    <row r="745" ht="15.75" customHeight="1">
      <c r="E745" s="159"/>
    </row>
    <row r="746" ht="15.75" customHeight="1">
      <c r="E746" s="159"/>
    </row>
    <row r="747" ht="15.75" customHeight="1">
      <c r="E747" s="159"/>
    </row>
    <row r="748" ht="15.75" customHeight="1">
      <c r="E748" s="159"/>
    </row>
    <row r="749" ht="15.75" customHeight="1">
      <c r="E749" s="159"/>
    </row>
    <row r="750" ht="15.75" customHeight="1">
      <c r="E750" s="159"/>
    </row>
    <row r="751" ht="15.75" customHeight="1">
      <c r="E751" s="159"/>
    </row>
    <row r="752" ht="15.75" customHeight="1">
      <c r="E752" s="159"/>
    </row>
    <row r="753" ht="15.75" customHeight="1">
      <c r="E753" s="159"/>
    </row>
    <row r="754" ht="15.75" customHeight="1">
      <c r="E754" s="159"/>
    </row>
    <row r="755" ht="15.75" customHeight="1">
      <c r="E755" s="159"/>
    </row>
    <row r="756" ht="15.75" customHeight="1">
      <c r="E756" s="159"/>
    </row>
    <row r="757" ht="15.75" customHeight="1">
      <c r="E757" s="159"/>
    </row>
    <row r="758" ht="15.75" customHeight="1">
      <c r="E758" s="159"/>
    </row>
    <row r="759" ht="15.75" customHeight="1">
      <c r="E759" s="159"/>
    </row>
    <row r="760" ht="15.75" customHeight="1">
      <c r="E760" s="159"/>
    </row>
    <row r="761" ht="15.75" customHeight="1">
      <c r="E761" s="159"/>
    </row>
    <row r="762" ht="15.75" customHeight="1">
      <c r="E762" s="159"/>
    </row>
    <row r="763" ht="15.75" customHeight="1">
      <c r="E763" s="159"/>
    </row>
    <row r="764" ht="15.75" customHeight="1">
      <c r="E764" s="159"/>
    </row>
    <row r="765" ht="15.75" customHeight="1">
      <c r="E765" s="159"/>
    </row>
    <row r="766" ht="15.75" customHeight="1">
      <c r="E766" s="159"/>
    </row>
    <row r="767" ht="15.75" customHeight="1">
      <c r="E767" s="159"/>
    </row>
    <row r="768" ht="15.75" customHeight="1">
      <c r="E768" s="159"/>
    </row>
    <row r="769" ht="15.75" customHeight="1">
      <c r="E769" s="159"/>
    </row>
    <row r="770" ht="15.75" customHeight="1">
      <c r="E770" s="159"/>
    </row>
    <row r="771" ht="15.75" customHeight="1">
      <c r="E771" s="159"/>
    </row>
    <row r="772" ht="15.75" customHeight="1">
      <c r="E772" s="159"/>
    </row>
    <row r="773" ht="15.75" customHeight="1">
      <c r="E773" s="159"/>
    </row>
    <row r="774" ht="15.75" customHeight="1">
      <c r="E774" s="159"/>
    </row>
    <row r="775" ht="15.75" customHeight="1">
      <c r="E775" s="159"/>
    </row>
    <row r="776" ht="15.75" customHeight="1">
      <c r="E776" s="159"/>
    </row>
    <row r="777" ht="15.75" customHeight="1">
      <c r="E777" s="159"/>
    </row>
    <row r="778" ht="15.75" customHeight="1">
      <c r="E778" s="159"/>
    </row>
    <row r="779" ht="15.75" customHeight="1">
      <c r="E779" s="159"/>
    </row>
    <row r="780" ht="15.75" customHeight="1">
      <c r="E780" s="159"/>
    </row>
    <row r="781" ht="15.75" customHeight="1">
      <c r="E781" s="159"/>
    </row>
    <row r="782" ht="15.75" customHeight="1">
      <c r="E782" s="159"/>
    </row>
    <row r="783" ht="15.75" customHeight="1">
      <c r="E783" s="159"/>
    </row>
    <row r="784" ht="15.75" customHeight="1">
      <c r="E784" s="159"/>
    </row>
    <row r="785" ht="15.75" customHeight="1">
      <c r="E785" s="159"/>
    </row>
    <row r="786" ht="15.75" customHeight="1">
      <c r="E786" s="159"/>
    </row>
    <row r="787" ht="15.75" customHeight="1">
      <c r="E787" s="159"/>
    </row>
    <row r="788" ht="15.75" customHeight="1">
      <c r="E788" s="159"/>
    </row>
    <row r="789" ht="15.75" customHeight="1">
      <c r="E789" s="159"/>
    </row>
    <row r="790" ht="15.75" customHeight="1">
      <c r="E790" s="159"/>
    </row>
    <row r="791" ht="15.75" customHeight="1">
      <c r="E791" s="159"/>
    </row>
    <row r="792" ht="15.75" customHeight="1">
      <c r="E792" s="159"/>
    </row>
    <row r="793" ht="15.75" customHeight="1">
      <c r="E793" s="159"/>
    </row>
    <row r="794" ht="15.75" customHeight="1">
      <c r="E794" s="159"/>
    </row>
    <row r="795" ht="15.75" customHeight="1">
      <c r="E795" s="159"/>
    </row>
    <row r="796" ht="15.75" customHeight="1">
      <c r="E796" s="159"/>
    </row>
    <row r="797" ht="15.75" customHeight="1">
      <c r="E797" s="159"/>
    </row>
    <row r="798" ht="15.75" customHeight="1">
      <c r="E798" s="159"/>
    </row>
    <row r="799" ht="15.75" customHeight="1">
      <c r="E799" s="159"/>
    </row>
    <row r="800" ht="15.75" customHeight="1">
      <c r="E800" s="159"/>
    </row>
    <row r="801" ht="15.75" customHeight="1">
      <c r="E801" s="159"/>
    </row>
    <row r="802" ht="15.75" customHeight="1">
      <c r="E802" s="159"/>
    </row>
    <row r="803" ht="15.75" customHeight="1">
      <c r="E803" s="159"/>
    </row>
    <row r="804" ht="15.75" customHeight="1">
      <c r="E804" s="159"/>
    </row>
    <row r="805" ht="15.75" customHeight="1">
      <c r="E805" s="159"/>
    </row>
    <row r="806" ht="15.75" customHeight="1">
      <c r="E806" s="159"/>
    </row>
    <row r="807" ht="15.75" customHeight="1">
      <c r="E807" s="159"/>
    </row>
    <row r="808" ht="15.75" customHeight="1">
      <c r="E808" s="159"/>
    </row>
    <row r="809" ht="15.75" customHeight="1">
      <c r="E809" s="159"/>
    </row>
    <row r="810" ht="15.75" customHeight="1">
      <c r="E810" s="159"/>
    </row>
    <row r="811" ht="15.75" customHeight="1">
      <c r="E811" s="159"/>
    </row>
    <row r="812" ht="15.75" customHeight="1">
      <c r="E812" s="159"/>
    </row>
    <row r="813" ht="15.75" customHeight="1">
      <c r="E813" s="159"/>
    </row>
    <row r="814" ht="15.75" customHeight="1">
      <c r="E814" s="159"/>
    </row>
    <row r="815" ht="15.75" customHeight="1">
      <c r="E815" s="159"/>
    </row>
    <row r="816" ht="15.75" customHeight="1">
      <c r="E816" s="159"/>
    </row>
    <row r="817" ht="15.75" customHeight="1">
      <c r="E817" s="159"/>
    </row>
    <row r="818" ht="15.75" customHeight="1">
      <c r="E818" s="159"/>
    </row>
    <row r="819" ht="15.75" customHeight="1">
      <c r="E819" s="159"/>
    </row>
    <row r="820" ht="15.75" customHeight="1">
      <c r="E820" s="159"/>
    </row>
    <row r="821" ht="15.75" customHeight="1">
      <c r="E821" s="159"/>
    </row>
    <row r="822" ht="15.75" customHeight="1">
      <c r="E822" s="159"/>
    </row>
    <row r="823" ht="15.75" customHeight="1">
      <c r="E823" s="159"/>
    </row>
    <row r="824" ht="15.75" customHeight="1">
      <c r="E824" s="159"/>
    </row>
    <row r="825" ht="15.75" customHeight="1">
      <c r="E825" s="159"/>
    </row>
    <row r="826" ht="15.75" customHeight="1">
      <c r="E826" s="159"/>
    </row>
    <row r="827" ht="15.75" customHeight="1">
      <c r="E827" s="159"/>
    </row>
    <row r="828" ht="15.75" customHeight="1">
      <c r="E828" s="159"/>
    </row>
    <row r="829" ht="15.75" customHeight="1">
      <c r="E829" s="159"/>
    </row>
    <row r="830" ht="15.75" customHeight="1">
      <c r="E830" s="159"/>
    </row>
    <row r="831" ht="15.75" customHeight="1">
      <c r="E831" s="159"/>
    </row>
    <row r="832" ht="15.75" customHeight="1">
      <c r="E832" s="159"/>
    </row>
    <row r="833" ht="15.75" customHeight="1">
      <c r="E833" s="159"/>
    </row>
    <row r="834" ht="15.75" customHeight="1">
      <c r="E834" s="159"/>
    </row>
    <row r="835" ht="15.75" customHeight="1">
      <c r="E835" s="159"/>
    </row>
    <row r="836" ht="15.75" customHeight="1">
      <c r="E836" s="159"/>
    </row>
    <row r="837" ht="15.75" customHeight="1">
      <c r="E837" s="159"/>
    </row>
    <row r="838" ht="15.75" customHeight="1">
      <c r="E838" s="159"/>
    </row>
    <row r="839" ht="15.75" customHeight="1">
      <c r="E839" s="159"/>
    </row>
    <row r="840" ht="15.75" customHeight="1">
      <c r="E840" s="159"/>
    </row>
    <row r="841" ht="15.75" customHeight="1">
      <c r="E841" s="159"/>
    </row>
    <row r="842" ht="15.75" customHeight="1">
      <c r="E842" s="159"/>
    </row>
    <row r="843" ht="15.75" customHeight="1">
      <c r="E843" s="159"/>
    </row>
    <row r="844" ht="15.75" customHeight="1">
      <c r="E844" s="159"/>
    </row>
    <row r="845" ht="15.75" customHeight="1">
      <c r="E845" s="159"/>
    </row>
    <row r="846" ht="15.75" customHeight="1">
      <c r="E846" s="159"/>
    </row>
    <row r="847" ht="15.75" customHeight="1">
      <c r="E847" s="159"/>
    </row>
    <row r="848" ht="15.75" customHeight="1">
      <c r="E848" s="159"/>
    </row>
    <row r="849" ht="15.75" customHeight="1">
      <c r="E849" s="159"/>
    </row>
    <row r="850" ht="15.75" customHeight="1">
      <c r="E850" s="159"/>
    </row>
    <row r="851" ht="15.75" customHeight="1">
      <c r="E851" s="159"/>
    </row>
    <row r="852" ht="15.75" customHeight="1">
      <c r="E852" s="159"/>
    </row>
    <row r="853" ht="15.75" customHeight="1">
      <c r="E853" s="159"/>
    </row>
    <row r="854" ht="15.75" customHeight="1">
      <c r="E854" s="159"/>
    </row>
    <row r="855" ht="15.75" customHeight="1">
      <c r="E855" s="159"/>
    </row>
    <row r="856" ht="15.75" customHeight="1">
      <c r="E856" s="159"/>
    </row>
    <row r="857" ht="15.75" customHeight="1">
      <c r="E857" s="159"/>
    </row>
    <row r="858" ht="15.75" customHeight="1">
      <c r="E858" s="159"/>
    </row>
    <row r="859" ht="15.75" customHeight="1">
      <c r="E859" s="159"/>
    </row>
    <row r="860" ht="15.75" customHeight="1">
      <c r="E860" s="159"/>
    </row>
    <row r="861" ht="15.75" customHeight="1">
      <c r="E861" s="159"/>
    </row>
    <row r="862" ht="15.75" customHeight="1">
      <c r="E862" s="159"/>
    </row>
    <row r="863" ht="15.75" customHeight="1">
      <c r="E863" s="159"/>
    </row>
    <row r="864" ht="15.75" customHeight="1">
      <c r="E864" s="159"/>
    </row>
    <row r="865" ht="15.75" customHeight="1">
      <c r="E865" s="159"/>
    </row>
    <row r="866" ht="15.75" customHeight="1">
      <c r="E866" s="159"/>
    </row>
    <row r="867" ht="15.75" customHeight="1">
      <c r="E867" s="159"/>
    </row>
    <row r="868" ht="15.75" customHeight="1">
      <c r="E868" s="159"/>
    </row>
    <row r="869" ht="15.75" customHeight="1">
      <c r="E869" s="159"/>
    </row>
    <row r="870" ht="15.75" customHeight="1">
      <c r="E870" s="159"/>
    </row>
    <row r="871" ht="15.75" customHeight="1">
      <c r="E871" s="159"/>
    </row>
    <row r="872" ht="15.75" customHeight="1">
      <c r="E872" s="159"/>
    </row>
    <row r="873" ht="15.75" customHeight="1">
      <c r="E873" s="159"/>
    </row>
    <row r="874" ht="15.75" customHeight="1">
      <c r="E874" s="159"/>
    </row>
    <row r="875" ht="15.75" customHeight="1">
      <c r="E875" s="159"/>
    </row>
    <row r="876" ht="15.75" customHeight="1">
      <c r="E876" s="159"/>
    </row>
    <row r="877" ht="15.75" customHeight="1">
      <c r="E877" s="159"/>
    </row>
    <row r="878" ht="15.75" customHeight="1">
      <c r="E878" s="159"/>
    </row>
    <row r="879" ht="15.75" customHeight="1">
      <c r="E879" s="159"/>
    </row>
    <row r="880" ht="15.75" customHeight="1">
      <c r="E880" s="159"/>
    </row>
    <row r="881" ht="15.75" customHeight="1">
      <c r="E881" s="159"/>
    </row>
    <row r="882" ht="15.75" customHeight="1">
      <c r="E882" s="159"/>
    </row>
    <row r="883" ht="15.75" customHeight="1">
      <c r="E883" s="159"/>
    </row>
    <row r="884" ht="15.75" customHeight="1">
      <c r="E884" s="159"/>
    </row>
    <row r="885" ht="15.75" customHeight="1">
      <c r="E885" s="159"/>
    </row>
    <row r="886" ht="15.75" customHeight="1">
      <c r="E886" s="159"/>
    </row>
    <row r="887" ht="15.75" customHeight="1">
      <c r="E887" s="159"/>
    </row>
    <row r="888" ht="15.75" customHeight="1">
      <c r="E888" s="159"/>
    </row>
    <row r="889" ht="15.75" customHeight="1">
      <c r="E889" s="159"/>
    </row>
    <row r="890" ht="15.75" customHeight="1">
      <c r="E890" s="159"/>
    </row>
    <row r="891" ht="15.75" customHeight="1">
      <c r="E891" s="159"/>
    </row>
    <row r="892" ht="15.75" customHeight="1">
      <c r="E892" s="159"/>
    </row>
    <row r="893" ht="15.75" customHeight="1">
      <c r="E893" s="159"/>
    </row>
    <row r="894" ht="15.75" customHeight="1">
      <c r="E894" s="159"/>
    </row>
    <row r="895" ht="15.75" customHeight="1">
      <c r="E895" s="159"/>
    </row>
    <row r="896" ht="15.75" customHeight="1">
      <c r="E896" s="159"/>
    </row>
    <row r="897" ht="15.75" customHeight="1">
      <c r="E897" s="159"/>
    </row>
    <row r="898" ht="15.75" customHeight="1">
      <c r="E898" s="159"/>
    </row>
    <row r="899" ht="15.75" customHeight="1">
      <c r="E899" s="159"/>
    </row>
    <row r="900" ht="15.75" customHeight="1">
      <c r="E900" s="159"/>
    </row>
    <row r="901" ht="15.75" customHeight="1">
      <c r="E901" s="159"/>
    </row>
    <row r="902" ht="15.75" customHeight="1">
      <c r="E902" s="159"/>
    </row>
    <row r="903" ht="15.75" customHeight="1">
      <c r="E903" s="159"/>
    </row>
    <row r="904" ht="15.75" customHeight="1">
      <c r="E904" s="159"/>
    </row>
    <row r="905" ht="15.75" customHeight="1">
      <c r="E905" s="159"/>
    </row>
    <row r="906" ht="15.75" customHeight="1">
      <c r="E906" s="159"/>
    </row>
    <row r="907" ht="15.75" customHeight="1">
      <c r="E907" s="159"/>
    </row>
    <row r="908" ht="15.75" customHeight="1">
      <c r="E908" s="159"/>
    </row>
    <row r="909" ht="15.75" customHeight="1">
      <c r="E909" s="159"/>
    </row>
    <row r="910" ht="15.75" customHeight="1">
      <c r="E910" s="159"/>
    </row>
    <row r="911" ht="15.75" customHeight="1">
      <c r="E911" s="159"/>
    </row>
    <row r="912" ht="15.75" customHeight="1">
      <c r="E912" s="159"/>
    </row>
    <row r="913" ht="15.75" customHeight="1">
      <c r="E913" s="159"/>
    </row>
    <row r="914" ht="15.75" customHeight="1">
      <c r="E914" s="159"/>
    </row>
    <row r="915" ht="15.75" customHeight="1">
      <c r="E915" s="159"/>
    </row>
    <row r="916" ht="15.75" customHeight="1">
      <c r="E916" s="159"/>
    </row>
    <row r="917" ht="15.75" customHeight="1">
      <c r="E917" s="159"/>
    </row>
    <row r="918" ht="15.75" customHeight="1">
      <c r="E918" s="159"/>
    </row>
    <row r="919" ht="15.75" customHeight="1">
      <c r="E919" s="159"/>
    </row>
    <row r="920" ht="15.75" customHeight="1">
      <c r="E920" s="159"/>
    </row>
    <row r="921" ht="15.75" customHeight="1">
      <c r="E921" s="159"/>
    </row>
    <row r="922" ht="15.75" customHeight="1">
      <c r="E922" s="159"/>
    </row>
    <row r="923" ht="15.75" customHeight="1">
      <c r="E923" s="159"/>
    </row>
    <row r="924" ht="15.75" customHeight="1">
      <c r="E924" s="159"/>
    </row>
    <row r="925" ht="15.75" customHeight="1">
      <c r="E925" s="159"/>
    </row>
    <row r="926" ht="15.75" customHeight="1">
      <c r="E926" s="159"/>
    </row>
    <row r="927" ht="15.75" customHeight="1">
      <c r="E927" s="159"/>
    </row>
    <row r="928" ht="15.75" customHeight="1">
      <c r="E928" s="159"/>
    </row>
    <row r="929" ht="15.75" customHeight="1">
      <c r="E929" s="159"/>
    </row>
    <row r="930" ht="15.75" customHeight="1">
      <c r="E930" s="159"/>
    </row>
    <row r="931" ht="15.75" customHeight="1">
      <c r="E931" s="159"/>
    </row>
    <row r="932" ht="15.75" customHeight="1">
      <c r="E932" s="159"/>
    </row>
    <row r="933" ht="15.75" customHeight="1">
      <c r="E933" s="159"/>
    </row>
    <row r="934" ht="15.75" customHeight="1">
      <c r="E934" s="159"/>
    </row>
    <row r="935" ht="15.75" customHeight="1">
      <c r="E935" s="159"/>
    </row>
    <row r="936" ht="15.75" customHeight="1">
      <c r="E936" s="159"/>
    </row>
    <row r="937" ht="15.75" customHeight="1">
      <c r="E937" s="159"/>
    </row>
    <row r="938" ht="15.75" customHeight="1">
      <c r="E938" s="159"/>
    </row>
    <row r="939" ht="15.75" customHeight="1">
      <c r="E939" s="159"/>
    </row>
    <row r="940" ht="15.75" customHeight="1">
      <c r="E940" s="159"/>
    </row>
    <row r="941" ht="15.75" customHeight="1">
      <c r="E941" s="159"/>
    </row>
    <row r="942" ht="15.75" customHeight="1">
      <c r="E942" s="159"/>
    </row>
    <row r="943" ht="15.75" customHeight="1">
      <c r="E943" s="159"/>
    </row>
    <row r="944" ht="15.75" customHeight="1">
      <c r="E944" s="159"/>
    </row>
    <row r="945" ht="15.75" customHeight="1">
      <c r="E945" s="159"/>
    </row>
    <row r="946" ht="15.75" customHeight="1">
      <c r="E946" s="159"/>
    </row>
    <row r="947" ht="15.75" customHeight="1">
      <c r="E947" s="159"/>
    </row>
    <row r="948" ht="15.75" customHeight="1">
      <c r="E948" s="159"/>
    </row>
    <row r="949" ht="15.75" customHeight="1">
      <c r="E949" s="159"/>
    </row>
    <row r="950" ht="15.75" customHeight="1">
      <c r="E950" s="159"/>
    </row>
    <row r="951" ht="15.75" customHeight="1">
      <c r="E951" s="159"/>
    </row>
    <row r="952" ht="15.75" customHeight="1">
      <c r="E952" s="159"/>
    </row>
    <row r="953" ht="15.75" customHeight="1">
      <c r="E953" s="159"/>
    </row>
    <row r="954" ht="15.75" customHeight="1">
      <c r="E954" s="159"/>
    </row>
    <row r="955" ht="15.75" customHeight="1">
      <c r="E955" s="159"/>
    </row>
    <row r="956" ht="15.75" customHeight="1">
      <c r="E956" s="159"/>
    </row>
    <row r="957" ht="15.75" customHeight="1">
      <c r="E957" s="159"/>
    </row>
    <row r="958" ht="15.75" customHeight="1">
      <c r="E958" s="159"/>
    </row>
    <row r="959" ht="15.75" customHeight="1">
      <c r="E959" s="159"/>
    </row>
    <row r="960" ht="15.75" customHeight="1">
      <c r="E960" s="159"/>
    </row>
    <row r="961" ht="15.75" customHeight="1">
      <c r="E961" s="159"/>
    </row>
    <row r="962" ht="15.75" customHeight="1">
      <c r="E962" s="159"/>
    </row>
    <row r="963" ht="15.75" customHeight="1">
      <c r="E963" s="159"/>
    </row>
    <row r="964" ht="15.75" customHeight="1">
      <c r="E964" s="159"/>
    </row>
    <row r="965" ht="15.75" customHeight="1">
      <c r="E965" s="159"/>
    </row>
    <row r="966" ht="15.75" customHeight="1">
      <c r="E966" s="159"/>
    </row>
    <row r="967" ht="15.75" customHeight="1">
      <c r="E967" s="159"/>
    </row>
    <row r="968" ht="15.75" customHeight="1">
      <c r="E968" s="159"/>
    </row>
    <row r="969" ht="15.75" customHeight="1">
      <c r="E969" s="159"/>
    </row>
    <row r="970" ht="15.75" customHeight="1">
      <c r="E970" s="159"/>
    </row>
    <row r="971" ht="15.75" customHeight="1">
      <c r="E971" s="159"/>
    </row>
    <row r="972" ht="15.75" customHeight="1">
      <c r="E972" s="159"/>
    </row>
    <row r="973" ht="15.75" customHeight="1">
      <c r="E973" s="159"/>
    </row>
    <row r="974" ht="15.75" customHeight="1">
      <c r="E974" s="159"/>
    </row>
    <row r="975" ht="15.75" customHeight="1">
      <c r="E975" s="159"/>
    </row>
    <row r="976" ht="15.75" customHeight="1">
      <c r="E976" s="159"/>
    </row>
    <row r="977" ht="15.75" customHeight="1">
      <c r="E977" s="159"/>
    </row>
    <row r="978" ht="15.75" customHeight="1">
      <c r="E978" s="159"/>
    </row>
    <row r="979" ht="15.75" customHeight="1">
      <c r="E979" s="159"/>
    </row>
    <row r="980" ht="15.75" customHeight="1">
      <c r="E980" s="159"/>
    </row>
    <row r="981" ht="15.75" customHeight="1">
      <c r="E981" s="159"/>
    </row>
    <row r="982" ht="15.75" customHeight="1">
      <c r="E982" s="159"/>
    </row>
    <row r="983" ht="15.75" customHeight="1">
      <c r="E983" s="159"/>
    </row>
    <row r="984" ht="15.75" customHeight="1">
      <c r="E984" s="159"/>
    </row>
    <row r="985" ht="15.75" customHeight="1">
      <c r="E985" s="159"/>
    </row>
    <row r="986" ht="15.75" customHeight="1">
      <c r="E986" s="159"/>
    </row>
    <row r="987" ht="15.75" customHeight="1">
      <c r="E987" s="159"/>
    </row>
    <row r="988" ht="15.75" customHeight="1">
      <c r="E988" s="159"/>
    </row>
    <row r="989" ht="15.75" customHeight="1">
      <c r="E989" s="159"/>
    </row>
    <row r="990" ht="15.75" customHeight="1">
      <c r="E990" s="159"/>
    </row>
    <row r="991" ht="15.75" customHeight="1">
      <c r="E991" s="159"/>
    </row>
    <row r="992" ht="15.75" customHeight="1">
      <c r="E992" s="159"/>
    </row>
    <row r="993" ht="15.75" customHeight="1">
      <c r="E993" s="159"/>
    </row>
    <row r="994" ht="15.75" customHeight="1">
      <c r="E994" s="159"/>
    </row>
    <row r="995" ht="15.75" customHeight="1">
      <c r="E995" s="159"/>
    </row>
    <row r="996" ht="15.75" customHeight="1">
      <c r="E996" s="159"/>
    </row>
    <row r="997" ht="15.75" customHeight="1">
      <c r="E997" s="159"/>
    </row>
    <row r="998" ht="15.75" customHeight="1">
      <c r="E998" s="159"/>
    </row>
    <row r="999" ht="15.75" customHeight="1">
      <c r="E999" s="159"/>
    </row>
    <row r="1000" ht="15.75" customHeight="1">
      <c r="E1000" s="159"/>
    </row>
  </sheetData>
  <mergeCells count="2">
    <mergeCell ref="A1:C1"/>
    <mergeCell ref="E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2024-11-22T01:34:50Z</dcterms:created>
</cp:coreProperties>
</file>