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openemr/interface/reports/templates/"/>
    </mc:Choice>
  </mc:AlternateContent>
  <xr:revisionPtr revIDLastSave="0" documentId="13_ncr:1_{F43E80ED-9887-134E-9B79-E1DA1F01B532}" xr6:coauthVersionLast="47" xr6:coauthVersionMax="47" xr10:uidLastSave="{00000000-0000-0000-0000-000000000000}"/>
  <bookViews>
    <workbookView xWindow="0" yWindow="660" windowWidth="29400" windowHeight="16900" xr2:uid="{00000000-000D-0000-FFFF-FFFF00000000}"/>
  </bookViews>
  <sheets>
    <sheet name="Patient DCR" sheetId="5" r:id="rId1"/>
    <sheet name="Gross Pat. Count" sheetId="1" r:id="rId2"/>
    <sheet name="Revenue Breakdown " sheetId="2" r:id="rId3"/>
    <sheet name="Deposit" sheetId="3" r:id="rId4"/>
    <sheet name="Shot tracker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XUOOVN2gzwnMQc9go7AYUCHhHVf5dN3WeGqexH9oXvI="/>
    </ext>
  </extLst>
</workbook>
</file>

<file path=xl/calcChain.xml><?xml version="1.0" encoding="utf-8"?>
<calcChain xmlns="http://schemas.openxmlformats.org/spreadsheetml/2006/main">
  <c r="AA24" i="1" l="1"/>
  <c r="Z24" i="1"/>
  <c r="Y24" i="1"/>
  <c r="X24" i="1"/>
  <c r="W24" i="1"/>
  <c r="V24" i="1"/>
  <c r="U24" i="1"/>
  <c r="T24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5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6" i="1"/>
  <c r="X5" i="1"/>
  <c r="P23" i="1"/>
  <c r="U23" i="1"/>
  <c r="O23" i="1"/>
  <c r="N23" i="1"/>
  <c r="S5" i="1"/>
  <c r="T23" i="1"/>
  <c r="O24" i="1" l="1"/>
  <c r="X23" i="1"/>
  <c r="V23" i="1"/>
  <c r="W23" i="1"/>
  <c r="Y23" i="1"/>
  <c r="F21" i="4"/>
  <c r="G21" i="4" s="1"/>
  <c r="D21" i="4"/>
  <c r="E21" i="4" s="1"/>
  <c r="B21" i="4"/>
  <c r="C21" i="4" s="1"/>
  <c r="G20" i="4"/>
  <c r="E20" i="4"/>
  <c r="C20" i="4"/>
  <c r="A20" i="4"/>
  <c r="G19" i="4"/>
  <c r="E19" i="4"/>
  <c r="C19" i="4"/>
  <c r="A19" i="4"/>
  <c r="G18" i="4"/>
  <c r="E18" i="4"/>
  <c r="C18" i="4"/>
  <c r="A18" i="4"/>
  <c r="G17" i="4"/>
  <c r="E17" i="4"/>
  <c r="C17" i="4"/>
  <c r="A17" i="4"/>
  <c r="G16" i="4"/>
  <c r="E16" i="4"/>
  <c r="C16" i="4"/>
  <c r="A16" i="4"/>
  <c r="G15" i="4"/>
  <c r="E15" i="4"/>
  <c r="C15" i="4"/>
  <c r="A15" i="4"/>
  <c r="G14" i="4"/>
  <c r="E14" i="4"/>
  <c r="C14" i="4"/>
  <c r="A14" i="4"/>
  <c r="G13" i="4"/>
  <c r="E13" i="4"/>
  <c r="C13" i="4"/>
  <c r="A13" i="4"/>
  <c r="G12" i="4"/>
  <c r="E12" i="4"/>
  <c r="C12" i="4"/>
  <c r="A12" i="4"/>
  <c r="G11" i="4"/>
  <c r="E11" i="4"/>
  <c r="C11" i="4"/>
  <c r="A11" i="4"/>
  <c r="G10" i="4"/>
  <c r="E10" i="4"/>
  <c r="C10" i="4"/>
  <c r="A10" i="4"/>
  <c r="G9" i="4"/>
  <c r="E9" i="4"/>
  <c r="C9" i="4"/>
  <c r="A9" i="4"/>
  <c r="G8" i="4"/>
  <c r="E8" i="4"/>
  <c r="C8" i="4"/>
  <c r="A8" i="4"/>
  <c r="G7" i="4"/>
  <c r="E7" i="4"/>
  <c r="C7" i="4"/>
  <c r="A7" i="4"/>
  <c r="G6" i="4"/>
  <c r="E6" i="4"/>
  <c r="C6" i="4"/>
  <c r="A6" i="4"/>
  <c r="G5" i="4"/>
  <c r="E5" i="4"/>
  <c r="C5" i="4"/>
  <c r="A5" i="4"/>
  <c r="G4" i="4"/>
  <c r="E4" i="4"/>
  <c r="C4" i="4"/>
  <c r="A4" i="4"/>
  <c r="G3" i="4"/>
  <c r="E3" i="4"/>
  <c r="C3" i="4"/>
  <c r="A3" i="4"/>
  <c r="D1" i="4"/>
  <c r="A1" i="4"/>
  <c r="G21" i="3"/>
  <c r="D21" i="3"/>
  <c r="C21" i="3"/>
  <c r="I20" i="3"/>
  <c r="B20" i="3"/>
  <c r="A20" i="3"/>
  <c r="I19" i="3"/>
  <c r="B19" i="3"/>
  <c r="A19" i="3"/>
  <c r="I18" i="3"/>
  <c r="B18" i="3"/>
  <c r="A18" i="3"/>
  <c r="I17" i="3"/>
  <c r="B17" i="3"/>
  <c r="A17" i="3"/>
  <c r="I16" i="3"/>
  <c r="A16" i="3"/>
  <c r="I15" i="3"/>
  <c r="H15" i="3"/>
  <c r="F15" i="3"/>
  <c r="B15" i="3"/>
  <c r="A15" i="3"/>
  <c r="I14" i="3"/>
  <c r="F14" i="3"/>
  <c r="H14" i="3" s="1"/>
  <c r="B14" i="3"/>
  <c r="A14" i="3"/>
  <c r="I13" i="3"/>
  <c r="E13" i="3"/>
  <c r="F13" i="3" s="1"/>
  <c r="H13" i="3" s="1"/>
  <c r="B13" i="3"/>
  <c r="A13" i="3"/>
  <c r="I12" i="3"/>
  <c r="H12" i="3"/>
  <c r="F12" i="3"/>
  <c r="E12" i="3"/>
  <c r="A12" i="3"/>
  <c r="I11" i="3"/>
  <c r="F11" i="3"/>
  <c r="H11" i="3" s="1"/>
  <c r="E11" i="3"/>
  <c r="B11" i="3"/>
  <c r="A11" i="3"/>
  <c r="I10" i="3"/>
  <c r="F10" i="3"/>
  <c r="H10" i="3" s="1"/>
  <c r="E10" i="3"/>
  <c r="B10" i="3"/>
  <c r="A10" i="3"/>
  <c r="I9" i="3"/>
  <c r="H9" i="3"/>
  <c r="F9" i="3"/>
  <c r="B9" i="3"/>
  <c r="A9" i="3"/>
  <c r="I8" i="3"/>
  <c r="E8" i="3"/>
  <c r="F8" i="3" s="1"/>
  <c r="H8" i="3" s="1"/>
  <c r="B8" i="3"/>
  <c r="A8" i="3"/>
  <c r="I7" i="3"/>
  <c r="E7" i="3"/>
  <c r="F7" i="3" s="1"/>
  <c r="H7" i="3" s="1"/>
  <c r="B7" i="3"/>
  <c r="A7" i="3"/>
  <c r="I6" i="3"/>
  <c r="E6" i="3"/>
  <c r="F6" i="3" s="1"/>
  <c r="H6" i="3" s="1"/>
  <c r="A6" i="3"/>
  <c r="I5" i="3"/>
  <c r="F5" i="3"/>
  <c r="H5" i="3" s="1"/>
  <c r="E5" i="3"/>
  <c r="A5" i="3"/>
  <c r="I4" i="3"/>
  <c r="E4" i="3"/>
  <c r="F4" i="3" s="1"/>
  <c r="H4" i="3" s="1"/>
  <c r="B4" i="3"/>
  <c r="A4" i="3"/>
  <c r="I3" i="3"/>
  <c r="I21" i="3" s="1"/>
  <c r="H3" i="3"/>
  <c r="F3" i="3"/>
  <c r="A3" i="3"/>
  <c r="E1" i="3"/>
  <c r="M21" i="2"/>
  <c r="A21" i="2"/>
  <c r="M20" i="2"/>
  <c r="A20" i="2"/>
  <c r="M19" i="2"/>
  <c r="A19" i="2"/>
  <c r="M18" i="2"/>
  <c r="A18" i="2"/>
  <c r="M17" i="2"/>
  <c r="A17" i="2"/>
  <c r="A16" i="2"/>
  <c r="M15" i="2"/>
  <c r="A15" i="2"/>
  <c r="M14" i="2"/>
  <c r="A14" i="2"/>
  <c r="M13" i="2"/>
  <c r="M12" i="2"/>
  <c r="A12" i="2"/>
  <c r="M11" i="2"/>
  <c r="A11" i="2"/>
  <c r="M10" i="2"/>
  <c r="A10" i="2"/>
  <c r="M9" i="2"/>
  <c r="A9" i="2"/>
  <c r="M8" i="2"/>
  <c r="A8" i="2"/>
  <c r="M7" i="2"/>
  <c r="M6" i="2"/>
  <c r="M5" i="2"/>
  <c r="A5" i="2"/>
  <c r="M4" i="2"/>
  <c r="L3" i="2"/>
  <c r="K3" i="2"/>
  <c r="J3" i="2"/>
  <c r="I3" i="2"/>
  <c r="G3" i="2"/>
  <c r="F3" i="2"/>
  <c r="E3" i="2"/>
  <c r="D3" i="2"/>
  <c r="C3" i="2"/>
  <c r="I1" i="2"/>
  <c r="A1" i="2"/>
  <c r="Z23" i="1"/>
  <c r="Q23" i="1"/>
  <c r="K23" i="1"/>
  <c r="J23" i="1"/>
  <c r="I23" i="1"/>
  <c r="H23" i="1"/>
  <c r="E23" i="1"/>
  <c r="D23" i="1"/>
  <c r="C23" i="1"/>
  <c r="B23" i="1"/>
  <c r="S22" i="1"/>
  <c r="R22" i="1"/>
  <c r="M22" i="1"/>
  <c r="L22" i="1"/>
  <c r="G22" i="1"/>
  <c r="F22" i="1"/>
  <c r="S21" i="1"/>
  <c r="R21" i="1"/>
  <c r="M21" i="1"/>
  <c r="L21" i="1"/>
  <c r="G21" i="1"/>
  <c r="F21" i="1"/>
  <c r="S20" i="1"/>
  <c r="R20" i="1"/>
  <c r="M20" i="1"/>
  <c r="L20" i="1"/>
  <c r="G20" i="1"/>
  <c r="F20" i="1"/>
  <c r="S19" i="1"/>
  <c r="R19" i="1"/>
  <c r="M19" i="1"/>
  <c r="L19" i="1"/>
  <c r="G19" i="1"/>
  <c r="F19" i="1"/>
  <c r="S18" i="1"/>
  <c r="R18" i="1"/>
  <c r="M18" i="1"/>
  <c r="L18" i="1"/>
  <c r="G18" i="1"/>
  <c r="F18" i="1"/>
  <c r="S17" i="1"/>
  <c r="R17" i="1"/>
  <c r="M17" i="1"/>
  <c r="L17" i="1"/>
  <c r="G17" i="1"/>
  <c r="F17" i="1"/>
  <c r="S16" i="1"/>
  <c r="R16" i="1"/>
  <c r="M16" i="1"/>
  <c r="L16" i="1"/>
  <c r="G16" i="1"/>
  <c r="F16" i="1"/>
  <c r="S15" i="1"/>
  <c r="R15" i="1"/>
  <c r="M15" i="1"/>
  <c r="L15" i="1"/>
  <c r="G15" i="1"/>
  <c r="F15" i="1"/>
  <c r="S14" i="1"/>
  <c r="R14" i="1"/>
  <c r="M14" i="1"/>
  <c r="L14" i="1"/>
  <c r="G14" i="1"/>
  <c r="F14" i="1"/>
  <c r="S13" i="1"/>
  <c r="R13" i="1"/>
  <c r="M13" i="1"/>
  <c r="L13" i="1"/>
  <c r="G13" i="1"/>
  <c r="F13" i="1"/>
  <c r="S12" i="1"/>
  <c r="R12" i="1"/>
  <c r="M12" i="1"/>
  <c r="L12" i="1"/>
  <c r="G12" i="1"/>
  <c r="F12" i="1"/>
  <c r="S11" i="1"/>
  <c r="R11" i="1"/>
  <c r="M11" i="1"/>
  <c r="L11" i="1"/>
  <c r="G11" i="1"/>
  <c r="F11" i="1"/>
  <c r="S10" i="1"/>
  <c r="R10" i="1"/>
  <c r="M10" i="1"/>
  <c r="L10" i="1"/>
  <c r="G10" i="1"/>
  <c r="F10" i="1"/>
  <c r="S9" i="1"/>
  <c r="R9" i="1"/>
  <c r="M9" i="1"/>
  <c r="L9" i="1"/>
  <c r="G9" i="1"/>
  <c r="F9" i="1"/>
  <c r="S8" i="1"/>
  <c r="R8" i="1"/>
  <c r="M8" i="1"/>
  <c r="L8" i="1"/>
  <c r="G8" i="1"/>
  <c r="F8" i="1"/>
  <c r="S7" i="1"/>
  <c r="R7" i="1"/>
  <c r="M7" i="1"/>
  <c r="L7" i="1"/>
  <c r="G7" i="1"/>
  <c r="F7" i="1"/>
  <c r="S6" i="1"/>
  <c r="R6" i="1"/>
  <c r="M6" i="1"/>
  <c r="L6" i="1"/>
  <c r="G6" i="1"/>
  <c r="F6" i="1"/>
  <c r="R5" i="1"/>
  <c r="M5" i="1"/>
  <c r="L5" i="1"/>
  <c r="G5" i="1"/>
  <c r="F5" i="1"/>
  <c r="S23" i="1" l="1"/>
  <c r="G23" i="1"/>
  <c r="L23" i="1"/>
  <c r="F23" i="1"/>
  <c r="R23" i="1"/>
  <c r="M23" i="1"/>
  <c r="H21" i="3"/>
  <c r="F21" i="3"/>
  <c r="S24" i="1" l="1"/>
  <c r="K24" i="1"/>
  <c r="R24" i="1"/>
  <c r="J24" i="1"/>
  <c r="B24" i="1"/>
  <c r="E24" i="1"/>
  <c r="Q24" i="1"/>
  <c r="I24" i="1"/>
  <c r="AA23" i="1"/>
  <c r="P24" i="1"/>
  <c r="H24" i="1"/>
  <c r="G24" i="1"/>
  <c r="F24" i="1"/>
  <c r="N24" i="1"/>
  <c r="M24" i="1"/>
  <c r="L24" i="1"/>
  <c r="D24" i="1"/>
  <c r="C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4" authorId="0" shapeId="0" xr:uid="{00000000-0006-0000-0000-000002000000}">
      <text>
        <r>
          <rPr>
            <sz val="10"/>
            <color rgb="FF000000"/>
            <rFont val="Helvetica Neue"/>
            <family val="2"/>
            <scheme val="minor"/>
          </rPr>
          <t>======
ID#AAABV9Uyju4
    (2024-09-26 14:17:59)
TAKE TOTAL REVENUE AND DIVIDE BY DAYS YOU HAVE BEEN OPEN.</t>
        </r>
      </text>
    </comment>
    <comment ref="C24" authorId="0" shapeId="0" xr:uid="{00000000-0006-0000-0000-000001000000}">
      <text>
        <r>
          <rPr>
            <sz val="10"/>
            <color rgb="FF000000"/>
            <rFont val="Helvetica Neue"/>
            <family val="2"/>
            <scheme val="minor"/>
          </rPr>
          <t>======
ID#AAABV9Uyju8
    (2024-09-26 14:17:59)
TAKE TOTAL REVENUE AND DIVIDE BY DAYS YOU HAVE BEEN OPEN.</t>
        </r>
      </text>
    </comment>
    <comment ref="D24" authorId="0" shapeId="0" xr:uid="{00000000-0006-0000-0000-000004000000}">
      <text>
        <r>
          <rPr>
            <sz val="10"/>
            <color rgb="FF000000"/>
            <rFont val="Helvetica Neue"/>
            <family val="2"/>
            <scheme val="minor"/>
          </rPr>
          <t>======
ID#AAABV9Uyjuw
    (2024-09-26 14:17:59)
TAKE TOTAL REVENUE AND DIVIDE BY DAYS YOU HAVE BEEN OPEN.</t>
        </r>
      </text>
    </comment>
    <comment ref="E24" authorId="0" shapeId="0" xr:uid="{00000000-0006-0000-0000-00000D000000}">
      <text>
        <r>
          <rPr>
            <sz val="10"/>
            <color rgb="FF000000"/>
            <rFont val="Helvetica Neue"/>
            <family val="2"/>
            <scheme val="minor"/>
          </rPr>
          <t>======
ID#AAABV9UyjuM
    (2024-09-26 14:17:59)
TAKE TOTAL REVENUE AND DIVIDE BY DAYS YOU HAVE BEEN OPEN.</t>
        </r>
      </text>
    </comment>
    <comment ref="F24" authorId="0" shapeId="0" xr:uid="{00000000-0006-0000-0000-000009000000}">
      <text>
        <r>
          <rPr>
            <sz val="10"/>
            <color rgb="FF000000"/>
            <rFont val="Helvetica Neue"/>
            <family val="2"/>
            <scheme val="minor"/>
          </rPr>
          <t>======
ID#AAABV9UyjuY
    (2024-09-26 14:17:59)
TAKE TOTAL REVENUE AND DIVIDE BY DAYS YOU HAVE BEEN OPEN.</t>
        </r>
      </text>
    </comment>
    <comment ref="G24" authorId="0" shapeId="0" xr:uid="{00000000-0006-0000-0000-00000A000000}">
      <text>
        <r>
          <rPr>
            <sz val="10"/>
            <color rgb="FF000000"/>
            <rFont val="Helvetica Neue"/>
            <family val="2"/>
            <scheme val="minor"/>
          </rPr>
          <t>======
ID#AAABV9Uyjug
    (2024-09-26 14:17:59)
TAKE TOTAL REVENUE AND DIVIDE BY DAYS YOU HAVE BEEN OPEN.</t>
        </r>
      </text>
    </comment>
    <comment ref="N24" authorId="0" shapeId="0" xr:uid="{00000000-0006-0000-0000-000006000000}">
      <text>
        <r>
          <rPr>
            <sz val="10"/>
            <color rgb="FF000000"/>
            <rFont val="Helvetica Neue"/>
            <family val="2"/>
          </rPr>
          <t xml:space="preserve">======
</t>
        </r>
        <r>
          <rPr>
            <sz val="10"/>
            <color rgb="FF000000"/>
            <rFont val="Helvetica Neue"/>
            <family val="2"/>
          </rPr>
          <t xml:space="preserve">ID#AAABV9Uyju0
</t>
        </r>
        <r>
          <rPr>
            <sz val="10"/>
            <color rgb="FF000000"/>
            <rFont val="Helvetica Neue"/>
            <family val="2"/>
          </rPr>
          <t xml:space="preserve">    (2024-09-26 14:17:59)
</t>
        </r>
        <r>
          <rPr>
            <sz val="10"/>
            <color rgb="FF000000"/>
            <rFont val="Helvetica Neue"/>
            <family val="2"/>
          </rPr>
          <t>TAKE TOTAL REVENUE AND DIVIDE BY DAYS YOU HAVE BEEN OPEN.</t>
        </r>
      </text>
    </comment>
    <comment ref="O24" authorId="0" shapeId="0" xr:uid="{00000000-0006-0000-0000-00000C000000}">
      <text>
        <r>
          <rPr>
            <sz val="10"/>
            <color rgb="FF000000"/>
            <rFont val="Helvetica Neue"/>
            <family val="2"/>
          </rPr>
          <t xml:space="preserve">======
</t>
        </r>
        <r>
          <rPr>
            <sz val="10"/>
            <color rgb="FF000000"/>
            <rFont val="Helvetica Neue"/>
            <family val="2"/>
          </rPr>
          <t xml:space="preserve">ID#AAABV9UyjuQ
</t>
        </r>
        <r>
          <rPr>
            <sz val="10"/>
            <color rgb="FF000000"/>
            <rFont val="Helvetica Neue"/>
            <family val="2"/>
          </rPr>
          <t xml:space="preserve">    (2024-09-26 14:17:59)
</t>
        </r>
        <r>
          <rPr>
            <sz val="10"/>
            <color rgb="FF000000"/>
            <rFont val="Helvetica Neue"/>
            <family val="2"/>
          </rPr>
          <t>TAKE TOTAL REVENUE AND DIVIDE BY DAYS YOU HAVE BEEN OPEN.</t>
        </r>
      </text>
    </comment>
    <comment ref="P24" authorId="0" shapeId="0" xr:uid="{00000000-0006-0000-0000-000005000000}">
      <text>
        <r>
          <rPr>
            <sz val="10"/>
            <color rgb="FF000000"/>
            <rFont val="Helvetica Neue"/>
            <family val="2"/>
          </rPr>
          <t xml:space="preserve">======
</t>
        </r>
        <r>
          <rPr>
            <sz val="10"/>
            <color rgb="FF000000"/>
            <rFont val="Helvetica Neue"/>
            <family val="2"/>
          </rPr>
          <t xml:space="preserve">ID#AAABV9Uyjus
</t>
        </r>
        <r>
          <rPr>
            <sz val="10"/>
            <color rgb="FF000000"/>
            <rFont val="Helvetica Neue"/>
            <family val="2"/>
          </rPr>
          <t xml:space="preserve">    (2024-09-26 14:17:59)
</t>
        </r>
        <r>
          <rPr>
            <sz val="10"/>
            <color rgb="FF000000"/>
            <rFont val="Helvetica Neue"/>
            <family val="2"/>
          </rPr>
          <t>TAKE TOTAL REVENUE AND DIVIDE BY DAYS YOU HAVE BEEN OPEN.</t>
        </r>
      </text>
    </comment>
    <comment ref="Q24" authorId="0" shapeId="0" xr:uid="{00000000-0006-0000-0000-000003000000}">
      <text>
        <r>
          <rPr>
            <sz val="10"/>
            <color rgb="FF000000"/>
            <rFont val="Helvetica Neue"/>
            <family val="2"/>
          </rPr>
          <t xml:space="preserve">======
</t>
        </r>
        <r>
          <rPr>
            <sz val="10"/>
            <color rgb="FF000000"/>
            <rFont val="Helvetica Neue"/>
            <family val="2"/>
          </rPr>
          <t xml:space="preserve">ID#AAABV9UyjvA
</t>
        </r>
        <r>
          <rPr>
            <sz val="10"/>
            <color rgb="FF000000"/>
            <rFont val="Helvetica Neue"/>
            <family val="2"/>
          </rPr>
          <t xml:space="preserve">    (2024-09-26 14:17:59)
</t>
        </r>
        <r>
          <rPr>
            <sz val="10"/>
            <color rgb="FF000000"/>
            <rFont val="Helvetica Neue"/>
            <family val="2"/>
          </rPr>
          <t>TAKE TOTAL REVENUE AND DIVIDE BY DAYS YOU HAVE BEEN OPEN.</t>
        </r>
      </text>
    </comment>
    <comment ref="R24" authorId="0" shapeId="0" xr:uid="{00000000-0006-0000-0000-000007000000}">
      <text>
        <r>
          <rPr>
            <sz val="10"/>
            <color rgb="FF000000"/>
            <rFont val="Helvetica Neue"/>
            <family val="2"/>
          </rPr>
          <t xml:space="preserve">======
</t>
        </r>
        <r>
          <rPr>
            <sz val="10"/>
            <color rgb="FF000000"/>
            <rFont val="Helvetica Neue"/>
            <family val="2"/>
          </rPr>
          <t xml:space="preserve">ID#AAABV9Uyjuo
</t>
        </r>
        <r>
          <rPr>
            <sz val="10"/>
            <color rgb="FF000000"/>
            <rFont val="Helvetica Neue"/>
            <family val="2"/>
          </rPr>
          <t xml:space="preserve">    (2024-09-26 14:17:59)
</t>
        </r>
        <r>
          <rPr>
            <sz val="10"/>
            <color rgb="FF000000"/>
            <rFont val="Helvetica Neue"/>
            <family val="2"/>
          </rPr>
          <t>TAKE TOTAL REVENUE AND DIVIDE BY DAYS YOU HAVE BEEN OPEN.</t>
        </r>
      </text>
    </comment>
    <comment ref="S24" authorId="0" shapeId="0" xr:uid="{00000000-0006-0000-0000-00000B000000}">
      <text>
        <r>
          <rPr>
            <sz val="10"/>
            <color rgb="FF000000"/>
            <rFont val="Helvetica Neue"/>
            <family val="2"/>
          </rPr>
          <t xml:space="preserve">======
</t>
        </r>
        <r>
          <rPr>
            <sz val="10"/>
            <color rgb="FF000000"/>
            <rFont val="Helvetica Neue"/>
            <family val="2"/>
          </rPr>
          <t xml:space="preserve">ID#AAABV9UyjuU
</t>
        </r>
        <r>
          <rPr>
            <sz val="10"/>
            <color rgb="FF000000"/>
            <rFont val="Helvetica Neue"/>
            <family val="2"/>
          </rPr>
          <t xml:space="preserve">    (2024-09-26 14:17:59)
</t>
        </r>
        <r>
          <rPr>
            <sz val="10"/>
            <color rgb="FF000000"/>
            <rFont val="Helvetica Neue"/>
            <family val="2"/>
          </rPr>
          <t>TAKE TOTAL REVENUE AND DIVIDE BY DAYS YOU HAVE BEEN OPEN.</t>
        </r>
      </text>
    </comment>
    <comment ref="T24" authorId="0" shapeId="0" xr:uid="{B8260BF8-D841-E142-9855-D34038629E3B}">
      <text>
        <r>
          <rPr>
            <sz val="10"/>
            <color rgb="FF000000"/>
            <rFont val="Helvetica Neue"/>
            <family val="2"/>
          </rPr>
          <t xml:space="preserve">======
</t>
        </r>
        <r>
          <rPr>
            <sz val="10"/>
            <color rgb="FF000000"/>
            <rFont val="Helvetica Neue"/>
            <family val="2"/>
          </rPr>
          <t xml:space="preserve">ID#AAABV9Uyju0
</t>
        </r>
        <r>
          <rPr>
            <sz val="10"/>
            <color rgb="FF000000"/>
            <rFont val="Helvetica Neue"/>
            <family val="2"/>
          </rPr>
          <t xml:space="preserve">    (2024-09-26 14:17:59)
</t>
        </r>
        <r>
          <rPr>
            <sz val="10"/>
            <color rgb="FF000000"/>
            <rFont val="Helvetica Neue"/>
            <family val="2"/>
          </rPr>
          <t>TAKE TOTAL REVENUE AND DIVIDE BY DAYS YOU HAVE BEEN OPEN.</t>
        </r>
      </text>
    </comment>
    <comment ref="U24" authorId="0" shapeId="0" xr:uid="{3A550B83-A6B7-6144-BE28-C37BA43AC9B6}">
      <text>
        <r>
          <rPr>
            <sz val="10"/>
            <color rgb="FF000000"/>
            <rFont val="Helvetica Neue"/>
            <family val="2"/>
          </rPr>
          <t xml:space="preserve">======
</t>
        </r>
        <r>
          <rPr>
            <sz val="10"/>
            <color rgb="FF000000"/>
            <rFont val="Helvetica Neue"/>
            <family val="2"/>
          </rPr>
          <t xml:space="preserve">ID#AAABV9UyjuQ
</t>
        </r>
        <r>
          <rPr>
            <sz val="10"/>
            <color rgb="FF000000"/>
            <rFont val="Helvetica Neue"/>
            <family val="2"/>
          </rPr>
          <t xml:space="preserve">    (2024-09-26 14:17:59)
</t>
        </r>
        <r>
          <rPr>
            <sz val="10"/>
            <color rgb="FF000000"/>
            <rFont val="Helvetica Neue"/>
            <family val="2"/>
          </rPr>
          <t>TAKE TOTAL REVENUE AND DIVIDE BY DAYS YOU HAVE BEEN OPEN.</t>
        </r>
      </text>
    </comment>
    <comment ref="V24" authorId="0" shapeId="0" xr:uid="{B078FC7D-AB93-0E47-BEA7-26D5F9734713}">
      <text>
        <r>
          <rPr>
            <sz val="10"/>
            <color rgb="FF000000"/>
            <rFont val="Helvetica Neue"/>
            <family val="2"/>
          </rPr>
          <t xml:space="preserve">======
</t>
        </r>
        <r>
          <rPr>
            <sz val="10"/>
            <color rgb="FF000000"/>
            <rFont val="Helvetica Neue"/>
            <family val="2"/>
          </rPr>
          <t xml:space="preserve">ID#AAABV9Uyjus
</t>
        </r>
        <r>
          <rPr>
            <sz val="10"/>
            <color rgb="FF000000"/>
            <rFont val="Helvetica Neue"/>
            <family val="2"/>
          </rPr>
          <t xml:space="preserve">    (2024-09-26 14:17:59)
</t>
        </r>
        <r>
          <rPr>
            <sz val="10"/>
            <color rgb="FF000000"/>
            <rFont val="Helvetica Neue"/>
            <family val="2"/>
          </rPr>
          <t>TAKE TOTAL REVENUE AND DIVIDE BY DAYS YOU HAVE BEEN OPEN.</t>
        </r>
      </text>
    </comment>
    <comment ref="W24" authorId="0" shapeId="0" xr:uid="{D7413D18-9E63-F24B-B1DB-F2EBCDADACE7}">
      <text>
        <r>
          <rPr>
            <sz val="10"/>
            <color rgb="FF000000"/>
            <rFont val="Helvetica Neue"/>
            <family val="2"/>
          </rPr>
          <t xml:space="preserve">======
</t>
        </r>
        <r>
          <rPr>
            <sz val="10"/>
            <color rgb="FF000000"/>
            <rFont val="Helvetica Neue"/>
            <family val="2"/>
          </rPr>
          <t xml:space="preserve">ID#AAABV9UyjvA
</t>
        </r>
        <r>
          <rPr>
            <sz val="10"/>
            <color rgb="FF000000"/>
            <rFont val="Helvetica Neue"/>
            <family val="2"/>
          </rPr>
          <t xml:space="preserve">    (2024-09-26 14:17:59)
</t>
        </r>
        <r>
          <rPr>
            <sz val="10"/>
            <color rgb="FF000000"/>
            <rFont val="Helvetica Neue"/>
            <family val="2"/>
          </rPr>
          <t>TAKE TOTAL REVENUE AND DIVIDE BY DAYS YOU HAVE BEEN OPEN.</t>
        </r>
      </text>
    </comment>
    <comment ref="X24" authorId="0" shapeId="0" xr:uid="{8F1A80A1-A3DF-2249-98B3-F9FFB1D3DC04}">
      <text>
        <r>
          <rPr>
            <sz val="10"/>
            <color rgb="FF000000"/>
            <rFont val="Helvetica Neue"/>
            <family val="2"/>
          </rPr>
          <t xml:space="preserve">======
</t>
        </r>
        <r>
          <rPr>
            <sz val="10"/>
            <color rgb="FF000000"/>
            <rFont val="Helvetica Neue"/>
            <family val="2"/>
          </rPr>
          <t xml:space="preserve">ID#AAABV9Uyjuo
</t>
        </r>
        <r>
          <rPr>
            <sz val="10"/>
            <color rgb="FF000000"/>
            <rFont val="Helvetica Neue"/>
            <family val="2"/>
          </rPr>
          <t xml:space="preserve">    (2024-09-26 14:17:59)
</t>
        </r>
        <r>
          <rPr>
            <sz val="10"/>
            <color rgb="FF000000"/>
            <rFont val="Helvetica Neue"/>
            <family val="2"/>
          </rPr>
          <t>TAKE TOTAL REVENUE AND DIVIDE BY DAYS YOU HAVE BEEN OPEN.</t>
        </r>
      </text>
    </comment>
    <comment ref="Y24" authorId="0" shapeId="0" xr:uid="{ACCA66C6-0987-2D43-84C0-02ABF19CCD1C}">
      <text>
        <r>
          <rPr>
            <sz val="10"/>
            <color rgb="FF000000"/>
            <rFont val="Helvetica Neue"/>
            <family val="2"/>
          </rPr>
          <t xml:space="preserve">======
</t>
        </r>
        <r>
          <rPr>
            <sz val="10"/>
            <color rgb="FF000000"/>
            <rFont val="Helvetica Neue"/>
            <family val="2"/>
          </rPr>
          <t xml:space="preserve">ID#AAABV9UyjuU
</t>
        </r>
        <r>
          <rPr>
            <sz val="10"/>
            <color rgb="FF000000"/>
            <rFont val="Helvetica Neue"/>
            <family val="2"/>
          </rPr>
          <t xml:space="preserve">    (2024-09-26 14:17:59)
</t>
        </r>
        <r>
          <rPr>
            <sz val="10"/>
            <color rgb="FF000000"/>
            <rFont val="Helvetica Neue"/>
            <family val="2"/>
          </rPr>
          <t>TAKE TOTAL REVENUE AND DIVIDE BY DAYS YOU HAVE BEEN OPEN.</t>
        </r>
      </text>
    </comment>
    <comment ref="AA24" authorId="0" shapeId="0" xr:uid="{00000000-0006-0000-0000-000008000000}">
      <text>
        <r>
          <rPr>
            <sz val="10"/>
            <color rgb="FF000000"/>
            <rFont val="Helvetica Neue"/>
            <family val="2"/>
            <scheme val="minor"/>
          </rPr>
          <t>======
ID#AAABV9Uyjuk
    (2024-09-26 14:17:59)
TAKE TOTAL REVENUE AND DIVIDE BY DAYS YOU HAVE BEEN OPEN.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zN1dRoZHzzTtTjTHGTqzSivEbpA=="/>
    </ext>
  </extLst>
</comments>
</file>

<file path=xl/sharedStrings.xml><?xml version="1.0" encoding="utf-8"?>
<sst xmlns="http://schemas.openxmlformats.org/spreadsheetml/2006/main" count="141" uniqueCount="79">
  <si>
    <t>HOOVER</t>
  </si>
  <si>
    <t>Day of week &amp; date</t>
  </si>
  <si>
    <t>SEMAGLUTIDE</t>
  </si>
  <si>
    <t>SG TOTAL</t>
  </si>
  <si>
    <t>TIRZEPATIDE</t>
  </si>
  <si>
    <t>TRZ TOTAL</t>
  </si>
  <si>
    <t>PILLS</t>
  </si>
  <si>
    <t>PILLS TOTAL</t>
  </si>
  <si>
    <t>All Other</t>
  </si>
  <si>
    <t>TOTAL</t>
  </si>
  <si>
    <t>NEW PTS</t>
  </si>
  <si>
    <t>REVENUE</t>
  </si>
  <si>
    <t>FU PTS</t>
  </si>
  <si>
    <t>PTS</t>
  </si>
  <si>
    <t xml:space="preserve"> REVENUE</t>
  </si>
  <si>
    <t>Revenue</t>
  </si>
  <si>
    <t>AVERAGE</t>
  </si>
  <si>
    <t>Office Visit</t>
  </si>
  <si>
    <t>LAB</t>
  </si>
  <si>
    <t>LIPO Inj</t>
  </si>
  <si>
    <t>Semaglutide</t>
  </si>
  <si>
    <t>Tirzepatide</t>
  </si>
  <si>
    <t>AfterPay</t>
  </si>
  <si>
    <t>Supplements</t>
  </si>
  <si>
    <t>Protein Drinks</t>
  </si>
  <si>
    <t>Taxes</t>
  </si>
  <si>
    <t xml:space="preserve"> Total</t>
  </si>
  <si>
    <t>Running
Totals</t>
  </si>
  <si>
    <t xml:space="preserve">  </t>
  </si>
  <si>
    <t>CLINIC</t>
  </si>
  <si>
    <t>DATE OF BUSINESS</t>
  </si>
  <si>
    <t>CASH</t>
  </si>
  <si>
    <t>CHECKS</t>
  </si>
  <si>
    <t>Actual Bank Deposit</t>
  </si>
  <si>
    <t>TOTAL DEPOSIT</t>
  </si>
  <si>
    <t>CREDIT</t>
  </si>
  <si>
    <t>SUBTOTAL OF CREDIT/    CHECKS</t>
  </si>
  <si>
    <t>TOTAL REVENUE</t>
  </si>
  <si>
    <t>Total</t>
  </si>
  <si>
    <t>Date:</t>
  </si>
  <si>
    <t># of LIPO Cards</t>
  </si>
  <si>
    <t>Total from cards</t>
  </si>
  <si>
    <t># of SG &amp; TRZ Cards</t>
  </si>
  <si>
    <t># of TRZ Cards</t>
  </si>
  <si>
    <t>Totals</t>
  </si>
  <si>
    <t>Testosterone</t>
  </si>
  <si>
    <t>Testosterone Total</t>
  </si>
  <si>
    <t>PATIENT DCR</t>
  </si>
  <si>
    <t>TRZ Injection</t>
  </si>
  <si>
    <t>AfterPay Fee</t>
  </si>
  <si>
    <t>Subtotal</t>
  </si>
  <si>
    <t>Tax</t>
  </si>
  <si>
    <t>Credits</t>
  </si>
  <si>
    <t>Notes</t>
  </si>
  <si>
    <t>0.25 mg</t>
  </si>
  <si>
    <t>Prepay - Blood Work (Date: 03/23/2026; Notes: Spring Sale)</t>
  </si>
  <si>
    <t>Prepay - Blood Work (Date: 03/09/2026; Notes: Spring Sale)</t>
  </si>
  <si>
    <t>HOOVER, AL</t>
  </si>
  <si>
    <t>Sign In #</t>
  </si>
  <si>
    <t>Patient Name</t>
  </si>
  <si>
    <t>Action</t>
  </si>
  <si>
    <t>OV</t>
  </si>
  <si>
    <t>BW</t>
  </si>
  <si>
    <t>PATIENT 7 v</t>
  </si>
  <si>
    <t>F</t>
  </si>
  <si>
    <t>PATIENT 1 19</t>
  </si>
  <si>
    <t>Card Punch #</t>
  </si>
  <si>
    <t>TH</t>
  </si>
  <si>
    <t>Amount</t>
  </si>
  <si>
    <t>#</t>
  </si>
  <si>
    <t>B12 Lipo Injection</t>
  </si>
  <si>
    <t>Semaglutde</t>
  </si>
  <si>
    <t>Injection</t>
  </si>
  <si>
    <t>DOSE (mg)</t>
  </si>
  <si>
    <t xml:space="preserve"> #</t>
  </si>
  <si>
    <t xml:space="preserve">Protein Shakes </t>
  </si>
  <si>
    <t>Shot Cards 1</t>
  </si>
  <si>
    <t>SG Revenue
$299.00</t>
  </si>
  <si>
    <t>Total REV
$378.90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</si>
</sst>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8" formatCode="&quot;$&quot;#,##0.00_);[Red]\(&quot;$&quot;#,##0.00\)"/>
    <numFmt numFmtId="164" formatCode="mmmm\ yyyy"/>
    <numFmt numFmtId="165" formatCode="m/d"/>
    <numFmt numFmtId="166" formatCode="dddd&quot;, &quot;mmmm&quot; &quot;d&quot;, &quot;yyyy"/>
    <numFmt numFmtId="167" formatCode="&quot;$&quot;#,##0.00"/>
    <numFmt numFmtId="168" formatCode="&quot;$&quot;#,##0.00&quot; &quot;;\(&quot;$&quot;#,##0.00\)"/>
    <numFmt numFmtId="169" formatCode="dddd\,\ mmmm\ d\,\ yyyy"/>
    <numFmt numFmtId="170" formatCode="#,##0.0"/>
    <numFmt numFmtId="171" formatCode="mmmm&quot; &quot;d&quot;, &quot;yyyy"/>
    <numFmt numFmtId="172" formatCode="ddd\ m\-d"/>
  </numFmts>
  <fonts count="18" x14ac:knownFonts="1">
    <font>
      <sz val="10"/>
      <color rgb="FF000000"/>
      <name val="Helvetica Neue"/>
      <scheme val="minor"/>
    </font>
    <font>
      <sz val="10"/>
      <color rgb="FF000000"/>
      <name val="Helvetica Neue"/>
      <family val="2"/>
      <scheme val="minor"/>
    </font>
    <font>
      <sz val="12"/>
      <color rgb="FF000000"/>
      <name val="Helvetica Neue"/>
      <family val="2"/>
      <scheme val="minor"/>
    </font>
    <font>
      <sz val="10"/>
      <color rgb="FF000000"/>
      <name val="Helvetica Neue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b/>
      <sz val="10"/>
      <color rgb="FF000000"/>
      <name val="Calibri"/>
      <family val="2"/>
    </font>
    <font>
      <sz val="12"/>
      <color rgb="FF000000"/>
      <name val="Calibri"/>
      <family val="2"/>
    </font>
    <font>
      <b/>
      <sz val="10"/>
      <color theme="1"/>
      <name val="Calibri"/>
      <family val="2"/>
    </font>
    <font>
      <b/>
      <sz val="10"/>
      <color rgb="FFE62300"/>
      <name val="Calibri"/>
      <family val="2"/>
    </font>
    <font>
      <b/>
      <sz val="10"/>
      <color rgb="FFFF0000"/>
      <name val="Calibri"/>
      <family val="2"/>
    </font>
    <font>
      <sz val="10"/>
      <color rgb="FFE62300"/>
      <name val="Calibri"/>
      <family val="2"/>
    </font>
    <font>
      <sz val="12"/>
      <name val="Calibri"/>
      <family val="2"/>
    </font>
    <font>
      <b/>
      <sz val="18"/>
      <color theme="1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FEFFFF"/>
        <bgColor rgb="FFFEFFFF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  <fill>
      <patternFill patternType="solid">
        <fgColor rgb="FFFEFCA9"/>
        <bgColor rgb="FFFEFCA9"/>
      </patternFill>
    </fill>
    <fill>
      <patternFill patternType="solid">
        <fgColor rgb="FFE62300"/>
        <bgColor rgb="FFE62300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rgb="FFFE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9"/>
        <bgColor rgb="FFB7B7B7"/>
      </patternFill>
    </fill>
    <fill>
      <patternFill patternType="solid">
        <fgColor theme="9"/>
        <bgColor rgb="FFF6B26B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9FC5E8"/>
      </patternFill>
    </fill>
    <fill>
      <patternFill patternType="solid">
        <fgColor theme="6" tint="0.39997558519241921"/>
        <bgColor rgb="FFF4CCCC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9EAF9"/>
        <bgColor indexed="64"/>
      </patternFill>
    </fill>
    <fill>
      <patternFill patternType="solid">
        <fgColor rgb="FFDCE9F7"/>
        <bgColor indexed="64"/>
      </patternFill>
    </fill>
    <fill>
      <patternFill patternType="solid">
        <fgColor rgb="FFCFEAF4"/>
        <bgColor indexed="64"/>
      </patternFill>
    </fill>
    <fill>
      <patternFill patternType="solid">
        <fgColor rgb="FFF9D9BC"/>
        <bgColor indexed="64"/>
      </patternFill>
    </fill>
    <fill>
      <patternFill patternType="solid">
        <fgColor rgb="FFE7D8EF"/>
        <bgColor indexed="64"/>
      </patternFill>
    </fill>
    <fill>
      <patternFill patternType="solid">
        <fgColor rgb="FFD5FFFF"/>
        <bgColor indexed="64"/>
      </patternFill>
    </fill>
    <fill>
      <patternFill patternType="solid">
        <fgColor theme="2"/>
        <bgColor indexed="64"/>
      </patternFill>
    </fill>
  </fills>
  <borders count="46">
    <border>
      <left/>
      <right/>
      <top/>
      <bottom/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 style="thin">
        <color rgb="FFCBCBCB"/>
      </bottom>
      <diagonal/>
    </border>
    <border>
      <left/>
      <right/>
      <top style="thick">
        <color rgb="FF000000"/>
      </top>
      <bottom style="thin">
        <color rgb="FFCBCBCB"/>
      </bottom>
      <diagonal/>
    </border>
    <border>
      <left/>
      <right/>
      <top style="thick">
        <color rgb="FF000000"/>
      </top>
      <bottom style="thin">
        <color rgb="FFCBCBCB"/>
      </bottom>
      <diagonal/>
    </border>
    <border>
      <left/>
      <right style="thick">
        <color rgb="FF000000"/>
      </right>
      <top style="thick">
        <color rgb="FF000000"/>
      </top>
      <bottom style="thin">
        <color rgb="FFCBCBCB"/>
      </bottom>
      <diagonal/>
    </border>
    <border>
      <left style="thick">
        <color rgb="FF000000"/>
      </left>
      <right style="thin">
        <color rgb="FF000000"/>
      </right>
      <top style="thin">
        <color rgb="FFCBCBCB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D5FF"/>
      </left>
      <right/>
      <top style="thin">
        <color rgb="FF00D5FF"/>
      </top>
      <bottom style="thin">
        <color rgb="FF000000"/>
      </bottom>
      <diagonal/>
    </border>
    <border>
      <left/>
      <right/>
      <top style="thin">
        <color rgb="FF00D5FF"/>
      </top>
      <bottom style="thin">
        <color rgb="FF000000"/>
      </bottom>
      <diagonal/>
    </border>
    <border>
      <left/>
      <right style="thin">
        <color rgb="FF00D5FF"/>
      </right>
      <top style="thin">
        <color rgb="FF00D5F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3"/>
      </bottom>
      <diagonal/>
    </border>
    <border>
      <left style="thin">
        <color theme="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2" borderId="34" xfId="0" applyFont="1" applyFill="1" applyBorder="1" applyAlignment="1">
      <alignment horizontal="center" vertical="center" wrapText="1"/>
    </xf>
    <xf numFmtId="49" fontId="6" fillId="2" borderId="34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/>
    </xf>
    <xf numFmtId="49" fontId="9" fillId="2" borderId="7" xfId="0" applyNumberFormat="1" applyFont="1" applyFill="1" applyBorder="1" applyAlignment="1">
      <alignment horizontal="center" vertical="center" wrapText="1"/>
    </xf>
    <xf numFmtId="49" fontId="6" fillId="2" borderId="5" xfId="0" applyNumberFormat="1" applyFont="1" applyFill="1" applyBorder="1" applyAlignment="1">
      <alignment horizontal="center" vertical="center"/>
    </xf>
    <xf numFmtId="49" fontId="6" fillId="4" borderId="5" xfId="0" applyNumberFormat="1" applyFont="1" applyFill="1" applyBorder="1" applyAlignment="1">
      <alignment horizontal="center" vertical="center"/>
    </xf>
    <xf numFmtId="49" fontId="6" fillId="5" borderId="5" xfId="0" applyNumberFormat="1" applyFont="1" applyFill="1" applyBorder="1" applyAlignment="1">
      <alignment horizontal="center" vertical="center"/>
    </xf>
    <xf numFmtId="49" fontId="6" fillId="17" borderId="5" xfId="0" applyNumberFormat="1" applyFont="1" applyFill="1" applyBorder="1" applyAlignment="1">
      <alignment horizontal="center" vertical="center"/>
    </xf>
    <xf numFmtId="49" fontId="6" fillId="2" borderId="18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 wrapText="1"/>
    </xf>
    <xf numFmtId="0" fontId="4" fillId="11" borderId="34" xfId="0" applyFont="1" applyFill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/>
    </xf>
    <xf numFmtId="1" fontId="4" fillId="2" borderId="34" xfId="0" applyNumberFormat="1" applyFont="1" applyFill="1" applyBorder="1" applyAlignment="1">
      <alignment horizontal="center" vertical="center"/>
    </xf>
    <xf numFmtId="49" fontId="10" fillId="2" borderId="34" xfId="0" applyNumberFormat="1" applyFont="1" applyFill="1" applyBorder="1" applyAlignment="1">
      <alignment horizontal="center" vertical="center"/>
    </xf>
    <xf numFmtId="166" fontId="10" fillId="2" borderId="34" xfId="0" applyNumberFormat="1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167" fontId="4" fillId="4" borderId="34" xfId="0" applyNumberFormat="1" applyFont="1" applyFill="1" applyBorder="1" applyAlignment="1">
      <alignment horizontal="center" vertical="center"/>
    </xf>
    <xf numFmtId="1" fontId="8" fillId="4" borderId="34" xfId="0" applyNumberFormat="1" applyFont="1" applyFill="1" applyBorder="1" applyAlignment="1">
      <alignment horizontal="center" vertical="center"/>
    </xf>
    <xf numFmtId="168" fontId="8" fillId="4" borderId="34" xfId="0" applyNumberFormat="1" applyFont="1" applyFill="1" applyBorder="1" applyAlignment="1">
      <alignment horizontal="center" vertical="center"/>
    </xf>
    <xf numFmtId="3" fontId="4" fillId="5" borderId="34" xfId="0" applyNumberFormat="1" applyFont="1" applyFill="1" applyBorder="1" applyAlignment="1">
      <alignment horizontal="center" vertical="center"/>
    </xf>
    <xf numFmtId="167" fontId="4" fillId="5" borderId="34" xfId="0" applyNumberFormat="1" applyFont="1" applyFill="1" applyBorder="1" applyAlignment="1">
      <alignment horizontal="center" vertical="center"/>
    </xf>
    <xf numFmtId="1" fontId="8" fillId="5" borderId="34" xfId="0" applyNumberFormat="1" applyFont="1" applyFill="1" applyBorder="1" applyAlignment="1">
      <alignment horizontal="center" vertical="center"/>
    </xf>
    <xf numFmtId="168" fontId="8" fillId="5" borderId="34" xfId="0" applyNumberFormat="1" applyFont="1" applyFill="1" applyBorder="1" applyAlignment="1">
      <alignment horizontal="center" vertical="center"/>
    </xf>
    <xf numFmtId="0" fontId="4" fillId="6" borderId="34" xfId="0" applyFont="1" applyFill="1" applyBorder="1" applyAlignment="1">
      <alignment horizontal="center" vertical="center"/>
    </xf>
    <xf numFmtId="167" fontId="4" fillId="6" borderId="34" xfId="0" applyNumberFormat="1" applyFont="1" applyFill="1" applyBorder="1" applyAlignment="1">
      <alignment horizontal="center" vertical="center"/>
    </xf>
    <xf numFmtId="1" fontId="4" fillId="6" borderId="34" xfId="0" applyNumberFormat="1" applyFont="1" applyFill="1" applyBorder="1" applyAlignment="1">
      <alignment horizontal="center" vertical="center"/>
    </xf>
    <xf numFmtId="168" fontId="4" fillId="6" borderId="34" xfId="0" applyNumberFormat="1" applyFont="1" applyFill="1" applyBorder="1" applyAlignment="1">
      <alignment horizontal="center" vertical="center"/>
    </xf>
    <xf numFmtId="3" fontId="4" fillId="17" borderId="34" xfId="0" applyNumberFormat="1" applyFont="1" applyFill="1" applyBorder="1" applyAlignment="1">
      <alignment horizontal="center" vertical="center"/>
    </xf>
    <xf numFmtId="167" fontId="4" fillId="17" borderId="34" xfId="0" applyNumberFormat="1" applyFont="1" applyFill="1" applyBorder="1" applyAlignment="1">
      <alignment horizontal="center" vertical="center"/>
    </xf>
    <xf numFmtId="1" fontId="4" fillId="16" borderId="34" xfId="0" applyNumberFormat="1" applyFont="1" applyFill="1" applyBorder="1" applyAlignment="1">
      <alignment horizontal="center" vertical="center"/>
    </xf>
    <xf numFmtId="168" fontId="4" fillId="16" borderId="34" xfId="0" applyNumberFormat="1" applyFont="1" applyFill="1" applyBorder="1" applyAlignment="1">
      <alignment horizontal="center" vertical="center"/>
    </xf>
    <xf numFmtId="1" fontId="8" fillId="17" borderId="34" xfId="0" applyNumberFormat="1" applyFont="1" applyFill="1" applyBorder="1" applyAlignment="1">
      <alignment horizontal="center" vertical="center"/>
    </xf>
    <xf numFmtId="168" fontId="8" fillId="17" borderId="34" xfId="0" applyNumberFormat="1" applyFont="1" applyFill="1" applyBorder="1" applyAlignment="1">
      <alignment horizontal="center" vertical="center"/>
    </xf>
    <xf numFmtId="167" fontId="4" fillId="2" borderId="34" xfId="0" applyNumberFormat="1" applyFont="1" applyFill="1" applyBorder="1" applyAlignment="1">
      <alignment horizontal="center" vertical="center"/>
    </xf>
    <xf numFmtId="8" fontId="4" fillId="7" borderId="34" xfId="0" applyNumberFormat="1" applyFont="1" applyFill="1" applyBorder="1" applyAlignment="1">
      <alignment horizontal="center" vertical="center"/>
    </xf>
    <xf numFmtId="0" fontId="4" fillId="16" borderId="34" xfId="0" applyFont="1" applyFill="1" applyBorder="1" applyAlignment="1">
      <alignment horizontal="center" vertical="center"/>
    </xf>
    <xf numFmtId="167" fontId="4" fillId="16" borderId="34" xfId="0" applyNumberFormat="1" applyFont="1" applyFill="1" applyBorder="1" applyAlignment="1">
      <alignment horizontal="center" vertical="center"/>
    </xf>
    <xf numFmtId="169" fontId="12" fillId="2" borderId="34" xfId="0" applyNumberFormat="1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167" fontId="4" fillId="17" borderId="41" xfId="0" applyNumberFormat="1" applyFont="1" applyFill="1" applyBorder="1" applyAlignment="1">
      <alignment horizontal="center" vertical="center"/>
    </xf>
    <xf numFmtId="0" fontId="13" fillId="10" borderId="34" xfId="0" applyFont="1" applyFill="1" applyBorder="1" applyAlignment="1">
      <alignment horizontal="center" vertical="center"/>
    </xf>
    <xf numFmtId="49" fontId="13" fillId="10" borderId="34" xfId="0" applyNumberFormat="1" applyFont="1" applyFill="1" applyBorder="1" applyAlignment="1">
      <alignment horizontal="center" vertical="center"/>
    </xf>
    <xf numFmtId="8" fontId="13" fillId="10" borderId="34" xfId="0" applyNumberFormat="1" applyFont="1" applyFill="1" applyBorder="1" applyAlignment="1">
      <alignment horizontal="center" vertical="center"/>
    </xf>
    <xf numFmtId="49" fontId="13" fillId="10" borderId="35" xfId="0" applyNumberFormat="1" applyFont="1" applyFill="1" applyBorder="1" applyAlignment="1">
      <alignment horizontal="center" vertical="center"/>
    </xf>
    <xf numFmtId="8" fontId="14" fillId="0" borderId="43" xfId="0" applyNumberFormat="1" applyFont="1" applyBorder="1" applyAlignment="1">
      <alignment horizontal="center" vertical="center" wrapText="1"/>
    </xf>
    <xf numFmtId="49" fontId="13" fillId="10" borderId="42" xfId="0" applyNumberFormat="1" applyFont="1" applyFill="1" applyBorder="1" applyAlignment="1">
      <alignment horizontal="center" vertical="center"/>
    </xf>
    <xf numFmtId="170" fontId="14" fillId="12" borderId="34" xfId="0" applyNumberFormat="1" applyFont="1" applyFill="1" applyBorder="1" applyAlignment="1">
      <alignment horizontal="center" vertical="center" wrapText="1"/>
    </xf>
    <xf numFmtId="167" fontId="14" fillId="12" borderId="34" xfId="0" applyNumberFormat="1" applyFont="1" applyFill="1" applyBorder="1" applyAlignment="1">
      <alignment horizontal="center" vertical="center" wrapText="1"/>
    </xf>
    <xf numFmtId="170" fontId="14" fillId="12" borderId="35" xfId="0" applyNumberFormat="1" applyFont="1" applyFill="1" applyBorder="1" applyAlignment="1">
      <alignment horizontal="center" vertical="center" wrapText="1"/>
    </xf>
    <xf numFmtId="8" fontId="14" fillId="0" borderId="44" xfId="0" applyNumberFormat="1" applyFont="1" applyBorder="1" applyAlignment="1">
      <alignment horizontal="center" vertical="center" wrapText="1"/>
    </xf>
    <xf numFmtId="170" fontId="14" fillId="12" borderId="42" xfId="0" applyNumberFormat="1" applyFont="1" applyFill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49" fontId="8" fillId="3" borderId="19" xfId="0" applyNumberFormat="1" applyFont="1" applyFill="1" applyBorder="1" applyAlignment="1">
      <alignment horizontal="center" vertical="center" wrapText="1"/>
    </xf>
    <xf numFmtId="49" fontId="10" fillId="3" borderId="20" xfId="0" applyNumberFormat="1" applyFont="1" applyFill="1" applyBorder="1" applyAlignment="1">
      <alignment horizontal="center" vertical="center" wrapText="1"/>
    </xf>
    <xf numFmtId="8" fontId="10" fillId="3" borderId="20" xfId="0" applyNumberFormat="1" applyFont="1" applyFill="1" applyBorder="1" applyAlignment="1">
      <alignment horizontal="center" vertical="center"/>
    </xf>
    <xf numFmtId="8" fontId="10" fillId="3" borderId="21" xfId="0" applyNumberFormat="1" applyFont="1" applyFill="1" applyBorder="1" applyAlignment="1">
      <alignment horizontal="center" vertical="center"/>
    </xf>
    <xf numFmtId="171" fontId="10" fillId="7" borderId="22" xfId="0" applyNumberFormat="1" applyFont="1" applyFill="1" applyBorder="1" applyAlignment="1">
      <alignment horizontal="center" vertical="center"/>
    </xf>
    <xf numFmtId="49" fontId="15" fillId="7" borderId="7" xfId="0" applyNumberFormat="1" applyFont="1" applyFill="1" applyBorder="1" applyAlignment="1">
      <alignment horizontal="center" vertical="center"/>
    </xf>
    <xf numFmtId="8" fontId="4" fillId="7" borderId="7" xfId="0" applyNumberFormat="1" applyFont="1" applyFill="1" applyBorder="1" applyAlignment="1">
      <alignment horizontal="center" vertical="center"/>
    </xf>
    <xf numFmtId="8" fontId="10" fillId="7" borderId="23" xfId="0" applyNumberFormat="1" applyFont="1" applyFill="1" applyBorder="1" applyAlignment="1">
      <alignment horizontal="center" vertical="center"/>
    </xf>
    <xf numFmtId="171" fontId="10" fillId="3" borderId="24" xfId="0" applyNumberFormat="1" applyFont="1" applyFill="1" applyBorder="1" applyAlignment="1">
      <alignment horizontal="center" vertical="center"/>
    </xf>
    <xf numFmtId="49" fontId="15" fillId="3" borderId="25" xfId="0" applyNumberFormat="1" applyFont="1" applyFill="1" applyBorder="1" applyAlignment="1">
      <alignment horizontal="center" vertical="center"/>
    </xf>
    <xf numFmtId="8" fontId="4" fillId="3" borderId="20" xfId="0" applyNumberFormat="1" applyFont="1" applyFill="1" applyBorder="1" applyAlignment="1">
      <alignment horizontal="center" vertical="center"/>
    </xf>
    <xf numFmtId="171" fontId="10" fillId="7" borderId="24" xfId="0" applyNumberFormat="1" applyFont="1" applyFill="1" applyBorder="1" applyAlignment="1">
      <alignment horizontal="center" vertical="center"/>
    </xf>
    <xf numFmtId="49" fontId="15" fillId="7" borderId="26" xfId="0" applyNumberFormat="1" applyFont="1" applyFill="1" applyBorder="1" applyAlignment="1">
      <alignment horizontal="center" vertical="center"/>
    </xf>
    <xf numFmtId="49" fontId="15" fillId="3" borderId="20" xfId="0" applyNumberFormat="1" applyFont="1" applyFill="1" applyBorder="1" applyAlignment="1">
      <alignment horizontal="center" vertical="center"/>
    </xf>
    <xf numFmtId="171" fontId="10" fillId="7" borderId="27" xfId="0" applyNumberFormat="1" applyFont="1" applyFill="1" applyBorder="1" applyAlignment="1">
      <alignment horizontal="center" vertical="center"/>
    </xf>
    <xf numFmtId="171" fontId="10" fillId="3" borderId="28" xfId="0" applyNumberFormat="1" applyFont="1" applyFill="1" applyBorder="1" applyAlignment="1">
      <alignment horizontal="center" vertical="center"/>
    </xf>
    <xf numFmtId="172" fontId="10" fillId="2" borderId="3" xfId="0" applyNumberFormat="1" applyFont="1" applyFill="1" applyBorder="1" applyAlignment="1">
      <alignment horizontal="center" vertical="center"/>
    </xf>
    <xf numFmtId="8" fontId="4" fillId="0" borderId="3" xfId="0" applyNumberFormat="1" applyFont="1" applyBorder="1" applyAlignment="1">
      <alignment horizontal="center" vertical="center"/>
    </xf>
    <xf numFmtId="8" fontId="4" fillId="0" borderId="4" xfId="0" applyNumberFormat="1" applyFont="1" applyBorder="1" applyAlignment="1">
      <alignment horizontal="center" vertical="center"/>
    </xf>
    <xf numFmtId="8" fontId="4" fillId="3" borderId="6" xfId="0" applyNumberFormat="1" applyFont="1" applyFill="1" applyBorder="1" applyAlignment="1">
      <alignment horizontal="center" vertical="center"/>
    </xf>
    <xf numFmtId="172" fontId="10" fillId="0" borderId="3" xfId="0" applyNumberFormat="1" applyFont="1" applyBorder="1" applyAlignment="1">
      <alignment horizontal="center" vertical="center"/>
    </xf>
    <xf numFmtId="49" fontId="4" fillId="8" borderId="30" xfId="0" applyNumberFormat="1" applyFont="1" applyFill="1" applyBorder="1" applyAlignment="1">
      <alignment horizontal="center" vertical="center"/>
    </xf>
    <xf numFmtId="167" fontId="10" fillId="8" borderId="30" xfId="0" applyNumberFormat="1" applyFont="1" applyFill="1" applyBorder="1" applyAlignment="1">
      <alignment horizontal="center" vertical="center"/>
    </xf>
    <xf numFmtId="172" fontId="10" fillId="2" borderId="9" xfId="0" applyNumberFormat="1" applyFont="1" applyFill="1" applyBorder="1" applyAlignment="1">
      <alignment horizontal="center" vertical="center"/>
    </xf>
    <xf numFmtId="1" fontId="4" fillId="2" borderId="8" xfId="0" applyNumberFormat="1" applyFont="1" applyFill="1" applyBorder="1" applyAlignment="1">
      <alignment horizontal="center" vertical="center"/>
    </xf>
    <xf numFmtId="1" fontId="8" fillId="2" borderId="8" xfId="0" applyNumberFormat="1" applyFont="1" applyFill="1" applyBorder="1" applyAlignment="1">
      <alignment vertical="center" wrapText="1"/>
    </xf>
    <xf numFmtId="49" fontId="10" fillId="2" borderId="9" xfId="0" applyNumberFormat="1" applyFont="1" applyFill="1" applyBorder="1" applyAlignment="1">
      <alignment horizontal="center" vertical="center"/>
    </xf>
    <xf numFmtId="1" fontId="10" fillId="2" borderId="8" xfId="0" applyNumberFormat="1" applyFont="1" applyFill="1" applyBorder="1" applyAlignment="1">
      <alignment horizontal="center" vertical="center"/>
    </xf>
    <xf numFmtId="165" fontId="7" fillId="3" borderId="34" xfId="0" applyNumberFormat="1" applyFont="1" applyFill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49" fontId="11" fillId="2" borderId="13" xfId="0" applyNumberFormat="1" applyFont="1" applyFill="1" applyBorder="1" applyAlignment="1">
      <alignment horizontal="center" vertical="center"/>
    </xf>
    <xf numFmtId="49" fontId="11" fillId="2" borderId="15" xfId="0" applyNumberFormat="1" applyFont="1" applyFill="1" applyBorder="1" applyAlignment="1">
      <alignment horizontal="center" vertical="center"/>
    </xf>
    <xf numFmtId="49" fontId="11" fillId="2" borderId="16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49" fontId="11" fillId="2" borderId="3" xfId="0" applyNumberFormat="1" applyFont="1" applyFill="1" applyBorder="1" applyAlignment="1">
      <alignment horizontal="center" vertical="center"/>
    </xf>
    <xf numFmtId="49" fontId="11" fillId="2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49" fontId="6" fillId="13" borderId="3" xfId="0" applyNumberFormat="1" applyFont="1" applyFill="1" applyBorder="1" applyAlignment="1">
      <alignment horizontal="center" vertical="center"/>
    </xf>
    <xf numFmtId="49" fontId="6" fillId="13" borderId="6" xfId="0" applyNumberFormat="1" applyFont="1" applyFill="1" applyBorder="1" applyAlignment="1">
      <alignment horizontal="center" vertical="center" wrapText="1"/>
    </xf>
    <xf numFmtId="49" fontId="11" fillId="14" borderId="6" xfId="0" applyNumberFormat="1" applyFont="1" applyFill="1" applyBorder="1" applyAlignment="1">
      <alignment horizontal="center" vertical="center" wrapText="1"/>
    </xf>
    <xf numFmtId="49" fontId="11" fillId="9" borderId="6" xfId="0" applyNumberFormat="1" applyFont="1" applyFill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 shrinkToFit="1"/>
    </xf>
    <xf numFmtId="0" fontId="5" fillId="18" borderId="34" xfId="0" applyFont="1" applyFill="1" applyBorder="1" applyAlignment="1">
      <alignment horizontal="center" vertical="center" wrapText="1" shrinkToFit="1"/>
    </xf>
    <xf numFmtId="8" fontId="5" fillId="18" borderId="34" xfId="0" applyNumberFormat="1" applyFont="1" applyFill="1" applyBorder="1" applyAlignment="1">
      <alignment horizontal="center" vertical="center" wrapText="1" shrinkToFit="1"/>
    </xf>
    <xf numFmtId="0" fontId="5" fillId="0" borderId="34" xfId="0" applyFont="1" applyBorder="1" applyAlignment="1">
      <alignment horizontal="center" vertical="center" wrapText="1" shrinkToFit="1"/>
    </xf>
    <xf numFmtId="0" fontId="17" fillId="0" borderId="34" xfId="0" applyFont="1" applyBorder="1" applyAlignment="1">
      <alignment horizontal="center" vertical="center" wrapText="1" shrinkToFit="1"/>
    </xf>
    <xf numFmtId="0" fontId="12" fillId="0" borderId="34" xfId="0" applyFont="1" applyBorder="1" applyAlignment="1">
      <alignment horizontal="center" vertical="center" wrapText="1" shrinkToFit="1"/>
    </xf>
    <xf numFmtId="0" fontId="12" fillId="21" borderId="34" xfId="0" applyFont="1" applyFill="1" applyBorder="1" applyAlignment="1">
      <alignment horizontal="center" vertical="center" wrapText="1" shrinkToFit="1"/>
    </xf>
    <xf numFmtId="0" fontId="12" fillId="22" borderId="34" xfId="0" applyFont="1" applyFill="1" applyBorder="1" applyAlignment="1">
      <alignment horizontal="center" vertical="center" wrapText="1" shrinkToFit="1"/>
    </xf>
    <xf numFmtId="0" fontId="12" fillId="23" borderId="34" xfId="0" applyFont="1" applyFill="1" applyBorder="1" applyAlignment="1">
      <alignment horizontal="center" vertical="center" wrapText="1" shrinkToFit="1"/>
    </xf>
    <xf numFmtId="0" fontId="12" fillId="24" borderId="34" xfId="0" applyFont="1" applyFill="1" applyBorder="1" applyAlignment="1">
      <alignment horizontal="center" vertical="center" wrapText="1" shrinkToFit="1"/>
    </xf>
    <xf numFmtId="0" fontId="8" fillId="0" borderId="45" xfId="0" applyFont="1" applyBorder="1" applyAlignment="1">
      <alignment horizontal="center" vertical="center" wrapText="1" shrinkToFit="1"/>
    </xf>
    <xf numFmtId="0" fontId="9" fillId="25" borderId="34" xfId="0" applyFont="1" applyFill="1" applyBorder="1" applyAlignment="1">
      <alignment horizontal="center" vertical="center" wrapText="1" shrinkToFit="1"/>
    </xf>
    <xf numFmtId="0" fontId="9" fillId="19" borderId="34" xfId="0" applyFont="1" applyFill="1" applyBorder="1" applyAlignment="1">
      <alignment horizontal="center" vertical="center" wrapText="1" shrinkToFit="1"/>
    </xf>
    <xf numFmtId="0" fontId="17" fillId="18" borderId="34" xfId="0" applyFont="1" applyFill="1" applyBorder="1" applyAlignment="1">
      <alignment horizontal="center" vertical="center" wrapText="1" shrinkToFit="1"/>
    </xf>
    <xf numFmtId="0" fontId="12" fillId="20" borderId="34" xfId="0" applyFont="1" applyFill="1" applyBorder="1" applyAlignment="1">
      <alignment horizontal="center" vertical="center" wrapText="1" shrinkToFit="1"/>
    </xf>
    <xf numFmtId="0" fontId="12" fillId="24" borderId="34" xfId="0" applyFont="1" applyFill="1" applyBorder="1" applyAlignment="1">
      <alignment horizontal="center" vertical="center" wrapText="1" shrinkToFit="1"/>
    </xf>
    <xf numFmtId="0" fontId="12" fillId="15" borderId="34" xfId="0" applyFont="1" applyFill="1" applyBorder="1" applyAlignment="1">
      <alignment horizontal="center" vertical="center" wrapText="1" shrinkToFit="1"/>
    </xf>
    <xf numFmtId="0" fontId="12" fillId="21" borderId="34" xfId="0" applyFont="1" applyFill="1" applyBorder="1" applyAlignment="1">
      <alignment horizontal="center" vertical="center" wrapText="1" shrinkToFit="1"/>
    </xf>
    <xf numFmtId="0" fontId="12" fillId="22" borderId="34" xfId="0" applyFont="1" applyFill="1" applyBorder="1" applyAlignment="1">
      <alignment horizontal="center" vertical="center" wrapText="1" shrinkToFit="1"/>
    </xf>
    <xf numFmtId="0" fontId="12" fillId="23" borderId="34" xfId="0" applyFont="1" applyFill="1" applyBorder="1" applyAlignment="1">
      <alignment horizontal="center" vertical="center" wrapText="1" shrinkToFit="1"/>
    </xf>
    <xf numFmtId="0" fontId="6" fillId="15" borderId="35" xfId="0" applyFont="1" applyFill="1" applyBorder="1" applyAlignment="1">
      <alignment horizontal="center" vertical="center" wrapText="1"/>
    </xf>
    <xf numFmtId="0" fontId="6" fillId="15" borderId="36" xfId="0" applyFont="1" applyFill="1" applyBorder="1" applyAlignment="1">
      <alignment horizontal="center" vertical="center" wrapText="1"/>
    </xf>
    <xf numFmtId="0" fontId="6" fillId="15" borderId="37" xfId="0" applyFont="1" applyFill="1" applyBorder="1" applyAlignment="1">
      <alignment horizontal="center" vertical="center" wrapText="1"/>
    </xf>
    <xf numFmtId="49" fontId="6" fillId="5" borderId="34" xfId="0" applyNumberFormat="1" applyFont="1" applyFill="1" applyBorder="1" applyAlignment="1">
      <alignment horizontal="center" vertical="center"/>
    </xf>
    <xf numFmtId="0" fontId="16" fillId="0" borderId="34" xfId="0" applyFont="1" applyBorder="1" applyAlignment="1">
      <alignment horizontal="center" vertical="center" wrapText="1"/>
    </xf>
    <xf numFmtId="49" fontId="6" fillId="6" borderId="34" xfId="0" applyNumberFormat="1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 wrapText="1"/>
    </xf>
    <xf numFmtId="164" fontId="7" fillId="3" borderId="34" xfId="0" applyNumberFormat="1" applyFont="1" applyFill="1" applyBorder="1" applyAlignment="1">
      <alignment horizontal="center" vertical="center" wrapText="1"/>
    </xf>
    <xf numFmtId="49" fontId="6" fillId="4" borderId="34" xfId="0" applyNumberFormat="1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49" fontId="11" fillId="2" borderId="14" xfId="0" applyNumberFormat="1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 wrapText="1"/>
    </xf>
    <xf numFmtId="49" fontId="11" fillId="2" borderId="29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49" fontId="11" fillId="2" borderId="31" xfId="0" applyNumberFormat="1" applyFont="1" applyFill="1" applyBorder="1" applyAlignment="1">
      <alignment horizontal="center" vertical="center" wrapText="1"/>
    </xf>
    <xf numFmtId="0" fontId="16" fillId="0" borderId="32" xfId="0" applyFont="1" applyBorder="1" applyAlignment="1">
      <alignment vertical="center" wrapText="1"/>
    </xf>
    <xf numFmtId="0" fontId="16" fillId="0" borderId="33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8" fillId="25" borderId="34" xfId="0" applyFont="1" applyFill="1" applyBorder="1" applyAlignment="1">
      <alignment horizontal="center" vertical="center" wrapText="1" shrinkToFit="1"/>
    </xf>
    <xf numFmtId="8" fontId="8" fillId="25" borderId="34" xfId="0" applyNumberFormat="1" applyFont="1" applyFill="1" applyBorder="1" applyAlignment="1">
      <alignment horizontal="center" vertical="center" wrapText="1" shrinkToFit="1"/>
    </xf>
  </cellXfs>
  <cellStyles count="1">
    <cellStyle name="Normal" xfId="0" builtinId="0"/>
  </cellStyles>
  <dxfs count="37">
    <dxf>
      <fill>
        <patternFill>
          <bgColor rgb="FFF8FAFC"/>
        </patternFill>
      </fill>
    </dxf>
    <dxf>
      <fill>
        <patternFill>
          <bgColor rgb="FFE3E3E3"/>
        </patternFill>
      </fill>
    </dxf>
    <dxf>
      <fill>
        <patternFill>
          <bgColor theme="2"/>
        </patternFill>
      </fill>
    </dxf>
    <dxf>
      <fill>
        <patternFill>
          <bgColor rgb="FFE3E3E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3E3E3"/>
        </patternFill>
      </fill>
    </dxf>
    <dxf>
      <fill>
        <patternFill>
          <bgColor rgb="FFF8FAFC"/>
        </patternFill>
      </fill>
    </dxf>
    <dxf>
      <fill>
        <patternFill>
          <bgColor rgb="FFE3E3E3"/>
        </patternFill>
      </fill>
    </dxf>
    <dxf>
      <fill>
        <patternFill>
          <bgColor theme="2"/>
        </patternFill>
      </fill>
    </dxf>
    <dxf>
      <fill>
        <patternFill>
          <bgColor rgb="FFE3E3E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3E3E3"/>
        </patternFill>
      </fill>
    </dxf>
    <dxf>
      <fill>
        <patternFill>
          <bgColor rgb="FFF8FAFC"/>
        </patternFill>
      </fill>
    </dxf>
    <dxf>
      <fill>
        <patternFill>
          <bgColor rgb="FFE3E3E3"/>
        </patternFill>
      </fill>
    </dxf>
    <dxf>
      <fill>
        <patternFill>
          <bgColor theme="2"/>
        </patternFill>
      </fill>
    </dxf>
    <dxf>
      <fill>
        <patternFill>
          <bgColor rgb="FFE3E3E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3E3E3"/>
        </patternFill>
      </fill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2" formatCode="&quot;$&quot;#,##0.00_);[Red]\(&quot;$&quot;#,##0.00\)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ck">
          <color rgb="FF000000"/>
        </top>
        <bottom style="thick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indent="0" justifyLastLine="0" shrinkToFit="0" readingOrder="0"/>
    </dxf>
    <dxf>
      <fill>
        <patternFill patternType="solid">
          <fgColor rgb="FFFEFFFF"/>
          <bgColor rgb="FFFEFFFF"/>
        </patternFill>
      </fill>
    </dxf>
    <dxf>
      <fill>
        <patternFill patternType="solid">
          <fgColor rgb="FFFEFCA9"/>
          <bgColor rgb="FFFEFCA9"/>
        </patternFill>
      </fill>
    </dxf>
    <dxf>
      <fill>
        <patternFill patternType="solid">
          <fgColor rgb="FFFEFFFF"/>
          <bgColor rgb="FFFEFFFF"/>
        </patternFill>
      </fill>
    </dxf>
  </dxfs>
  <tableStyles count="1">
    <tableStyle name="Revenue Breakdown -style" pivot="0" count="3" xr9:uid="{00000000-0011-0000-FFFF-FFFF00000000}">
      <tableStyleElement type="headerRow" dxfId="36"/>
      <tableStyleElement type="firstRowStripe" dxfId="35"/>
      <tableStyleElement type="secondRowStripe" dxfId="34"/>
    </tableStyle>
  </tableStyles>
  <colors>
    <mruColors>
      <color rgb="FFE3E3E3"/>
      <color rgb="FFF8FAFC"/>
      <color rgb="FFF8FFFF"/>
      <color rgb="FFF0ECEF"/>
      <color rgb="FFFAFCFD"/>
      <color rgb="FFD5FFFF"/>
      <color rgb="FFE7D8EF"/>
      <color rgb="FFF9D9BC"/>
      <color rgb="FFCFEAF4"/>
      <color rgb="FFDCE9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M21" headerRowCount="0" headerRowDxfId="33" dataDxfId="32" totalsRowDxfId="31">
  <tableColumns count="13">
    <tableColumn id="1" xr3:uid="{00000000-0010-0000-0000-000001000000}" name="Column1" dataDxfId="30"/>
    <tableColumn id="2" xr3:uid="{00000000-0010-0000-0000-000002000000}" name="Column2" dataDxfId="29"/>
    <tableColumn id="3" xr3:uid="{00000000-0010-0000-0000-000003000000}" name="Column3" dataDxfId="28"/>
    <tableColumn id="4" xr3:uid="{00000000-0010-0000-0000-000004000000}" name="Column4" dataDxfId="27"/>
    <tableColumn id="5" xr3:uid="{00000000-0010-0000-0000-000005000000}" name="Column5" dataDxfId="26"/>
    <tableColumn id="6" xr3:uid="{00000000-0010-0000-0000-000006000000}" name="Column6" dataDxfId="25"/>
    <tableColumn id="7" xr3:uid="{00000000-0010-0000-0000-000007000000}" name="Column7" dataDxfId="24"/>
    <tableColumn id="13" xr3:uid="{8CFF695E-7895-AB45-80C1-0F3A83F3B7A8}" name="Column13" dataDxfId="23"/>
    <tableColumn id="8" xr3:uid="{00000000-0010-0000-0000-000008000000}" name="Column8" dataDxfId="22"/>
    <tableColumn id="9" xr3:uid="{00000000-0010-0000-0000-000009000000}" name="Column9" dataDxfId="21"/>
    <tableColumn id="10" xr3:uid="{00000000-0010-0000-0000-00000A000000}" name="Column10" dataDxfId="20"/>
    <tableColumn id="11" xr3:uid="{00000000-0010-0000-0000-00000B000000}" name="Column11" dataDxfId="19"/>
    <tableColumn id="12" xr3:uid="{00000000-0010-0000-0000-00000C000000}" name="Column12" dataDxfId="18"/>
  </tableColumns>
  <tableStyleInfo name="Revenue Breakdown 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BD7E-6285-1944-83AB-73E39AE7571B}">
  <dimension ref="A1:AC12"/>
  <sheetViews>
    <sheetView tabSelected="1" workbookViewId="0">
      <selection activeCell="E14" sqref="E14"/>
    </sheetView>
  </sheetViews>
  <sheetFormatPr baseColWidth="10" defaultRowHeight="40" customHeight="1" x14ac:dyDescent="0.15"/>
  <cols>
    <col min="1" max="27" width="10.83203125" style="109"/>
    <col min="28" max="28" width="19" style="109" customWidth="1"/>
    <col min="29" max="29" width="26.33203125" style="109" customWidth="1"/>
    <col min="30" max="30" width="33.33203125" style="109" customWidth="1"/>
    <col min="31" max="16384" width="10.83203125" style="109"/>
  </cols>
  <sheetData>
    <row r="1" spans="1:29" s="120" customFormat="1" ht="40" customHeight="1" x14ac:dyDescent="0.15">
      <c r="A1" s="121"/>
      <c r="B1" s="121"/>
      <c r="C1" s="121"/>
      <c r="D1" s="121"/>
      <c r="E1" s="121"/>
      <c r="F1" s="121" t="s">
        <v>78</v>
      </c>
      <c r="G1" s="121"/>
      <c r="H1" s="121"/>
      <c r="I1" s="121"/>
      <c r="J1" s="121"/>
      <c r="K1" s="121"/>
      <c r="L1" s="121"/>
      <c r="M1" s="121" t="s">
        <v>76</v>
      </c>
      <c r="N1" s="121"/>
      <c r="O1" s="121"/>
      <c r="P1" s="121"/>
      <c r="Q1" s="121"/>
      <c r="R1" s="121"/>
      <c r="S1" s="121" t="s">
        <v>77</v>
      </c>
      <c r="T1" s="121"/>
      <c r="U1" s="121"/>
      <c r="V1" s="121"/>
      <c r="W1" s="121"/>
      <c r="X1" s="121"/>
      <c r="Y1" s="121"/>
      <c r="Z1" s="121"/>
      <c r="AA1" s="121"/>
      <c r="AB1" s="121"/>
      <c r="AC1" s="121"/>
    </row>
    <row r="2" spans="1:29" s="113" customFormat="1" ht="26" customHeight="1" x14ac:dyDescent="0.15">
      <c r="A2" s="122" t="s">
        <v>57</v>
      </c>
      <c r="B2" s="122"/>
      <c r="C2" s="122"/>
      <c r="D2" s="122"/>
      <c r="E2" s="122"/>
      <c r="F2" s="122"/>
      <c r="G2" s="122"/>
      <c r="H2" s="122"/>
      <c r="I2" s="122"/>
      <c r="J2" s="122" t="s">
        <v>47</v>
      </c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</row>
    <row r="3" spans="1:29" ht="30" customHeight="1" x14ac:dyDescent="0.15">
      <c r="A3" s="123" t="s">
        <v>58</v>
      </c>
      <c r="B3" s="123" t="s">
        <v>59</v>
      </c>
      <c r="C3" s="123" t="s">
        <v>60</v>
      </c>
      <c r="D3" s="123" t="s">
        <v>61</v>
      </c>
      <c r="E3" s="123" t="s">
        <v>62</v>
      </c>
      <c r="F3" s="126" t="s">
        <v>70</v>
      </c>
      <c r="G3" s="126"/>
      <c r="H3" s="126"/>
      <c r="I3" s="126"/>
      <c r="J3" s="127" t="s">
        <v>71</v>
      </c>
      <c r="K3" s="127"/>
      <c r="L3" s="127"/>
      <c r="M3" s="127"/>
      <c r="N3" s="127"/>
      <c r="O3" s="128" t="s">
        <v>21</v>
      </c>
      <c r="P3" s="128"/>
      <c r="Q3" s="128"/>
      <c r="R3" s="128"/>
      <c r="S3" s="128"/>
      <c r="T3" s="124" t="s">
        <v>49</v>
      </c>
      <c r="U3" s="124" t="s">
        <v>23</v>
      </c>
      <c r="V3" s="124"/>
      <c r="W3" s="124" t="s">
        <v>75</v>
      </c>
      <c r="X3" s="124"/>
      <c r="Y3" s="125" t="s">
        <v>50</v>
      </c>
      <c r="Z3" s="125" t="s">
        <v>51</v>
      </c>
      <c r="AA3" s="125" t="s">
        <v>52</v>
      </c>
      <c r="AB3" s="125" t="s">
        <v>38</v>
      </c>
      <c r="AC3" s="125" t="s">
        <v>53</v>
      </c>
    </row>
    <row r="4" spans="1:29" s="114" customFormat="1" ht="24" customHeight="1" x14ac:dyDescent="0.15">
      <c r="A4" s="123"/>
      <c r="B4" s="123"/>
      <c r="C4" s="123"/>
      <c r="D4" s="123"/>
      <c r="E4" s="123"/>
      <c r="F4" s="115" t="s">
        <v>66</v>
      </c>
      <c r="G4" s="115" t="s">
        <v>67</v>
      </c>
      <c r="H4" s="115" t="s">
        <v>68</v>
      </c>
      <c r="I4" s="115" t="s">
        <v>69</v>
      </c>
      <c r="J4" s="116" t="s">
        <v>66</v>
      </c>
      <c r="K4" s="116" t="s">
        <v>67</v>
      </c>
      <c r="L4" s="116" t="s">
        <v>72</v>
      </c>
      <c r="M4" s="116" t="s">
        <v>69</v>
      </c>
      <c r="N4" s="116" t="s">
        <v>73</v>
      </c>
      <c r="O4" s="117" t="s">
        <v>66</v>
      </c>
      <c r="P4" s="117" t="s">
        <v>67</v>
      </c>
      <c r="Q4" s="117" t="s">
        <v>48</v>
      </c>
      <c r="R4" s="117" t="s">
        <v>74</v>
      </c>
      <c r="S4" s="117" t="s">
        <v>73</v>
      </c>
      <c r="T4" s="124"/>
      <c r="U4" s="118" t="s">
        <v>68</v>
      </c>
      <c r="V4" s="118" t="s">
        <v>69</v>
      </c>
      <c r="W4" s="118" t="s">
        <v>68</v>
      </c>
      <c r="X4" s="118" t="s">
        <v>69</v>
      </c>
      <c r="Y4" s="125"/>
      <c r="Z4" s="125"/>
      <c r="AA4" s="125"/>
      <c r="AB4" s="125"/>
      <c r="AC4" s="125"/>
    </row>
    <row r="5" spans="1:29" s="148" customFormat="1" ht="22" customHeight="1" x14ac:dyDescent="0.15">
      <c r="A5" s="148">
        <v>3</v>
      </c>
      <c r="B5" s="148" t="s">
        <v>63</v>
      </c>
      <c r="C5" s="149" t="s">
        <v>64</v>
      </c>
      <c r="D5" s="149">
        <v>39.950000000000003</v>
      </c>
      <c r="E5" s="149">
        <v>0</v>
      </c>
      <c r="G5" s="149"/>
      <c r="H5" s="149">
        <v>0</v>
      </c>
      <c r="I5" s="148">
        <v>0</v>
      </c>
      <c r="J5" s="148">
        <v>2</v>
      </c>
      <c r="L5" s="149">
        <v>74.75</v>
      </c>
      <c r="M5" s="148">
        <v>1</v>
      </c>
      <c r="N5" s="148" t="s">
        <v>54</v>
      </c>
      <c r="O5" s="149"/>
      <c r="P5" s="149"/>
      <c r="Q5" s="149">
        <v>0</v>
      </c>
      <c r="R5" s="149">
        <v>0</v>
      </c>
      <c r="T5" s="149">
        <v>0</v>
      </c>
      <c r="U5" s="149">
        <v>0</v>
      </c>
      <c r="V5" s="149">
        <v>0</v>
      </c>
      <c r="W5" s="149">
        <v>0</v>
      </c>
      <c r="X5" s="148">
        <v>0</v>
      </c>
      <c r="Y5" s="149">
        <v>114.7</v>
      </c>
      <c r="Z5" s="149">
        <v>0</v>
      </c>
      <c r="AA5" s="149">
        <v>0</v>
      </c>
      <c r="AB5" s="149">
        <v>114.7</v>
      </c>
      <c r="AC5" s="148" t="s">
        <v>55</v>
      </c>
    </row>
    <row r="6" spans="1:29" s="148" customFormat="1" ht="22" customHeight="1" x14ac:dyDescent="0.15">
      <c r="A6" s="148">
        <v>13</v>
      </c>
      <c r="B6" s="148" t="s">
        <v>65</v>
      </c>
      <c r="C6" s="149" t="s">
        <v>64</v>
      </c>
      <c r="D6" s="149">
        <v>39.950000000000003</v>
      </c>
      <c r="E6" s="149">
        <v>0</v>
      </c>
      <c r="F6" s="148">
        <v>2</v>
      </c>
      <c r="G6" s="149"/>
      <c r="H6" s="149">
        <v>0</v>
      </c>
      <c r="I6" s="148">
        <v>0</v>
      </c>
      <c r="J6" s="148">
        <v>2</v>
      </c>
      <c r="L6" s="149">
        <v>224.25</v>
      </c>
      <c r="M6" s="148">
        <v>3</v>
      </c>
      <c r="N6" s="148" t="s">
        <v>54</v>
      </c>
      <c r="O6" s="149"/>
      <c r="P6" s="149"/>
      <c r="Q6" s="149">
        <v>0</v>
      </c>
      <c r="R6" s="149">
        <v>0</v>
      </c>
      <c r="T6" s="149">
        <v>0</v>
      </c>
      <c r="U6" s="149">
        <v>0</v>
      </c>
      <c r="V6" s="149">
        <v>0</v>
      </c>
      <c r="W6" s="149">
        <v>0</v>
      </c>
      <c r="X6" s="148">
        <v>0</v>
      </c>
      <c r="Y6" s="149">
        <v>264.2</v>
      </c>
      <c r="Z6" s="149">
        <v>0</v>
      </c>
      <c r="AA6" s="149">
        <v>0</v>
      </c>
      <c r="AB6" s="149">
        <v>264.2</v>
      </c>
      <c r="AC6" s="148" t="s">
        <v>56</v>
      </c>
    </row>
    <row r="7" spans="1:29" s="112" customFormat="1" ht="40" customHeight="1" x14ac:dyDescent="0.15">
      <c r="A7" s="110" t="s">
        <v>44</v>
      </c>
      <c r="B7" s="110"/>
      <c r="C7" s="111"/>
      <c r="D7" s="111">
        <v>79.900000000000006</v>
      </c>
      <c r="E7" s="111">
        <v>0</v>
      </c>
      <c r="F7" s="110"/>
      <c r="G7" s="111">
        <v>0</v>
      </c>
      <c r="H7" s="111">
        <v>0</v>
      </c>
      <c r="I7" s="110">
        <v>0</v>
      </c>
      <c r="J7" s="110"/>
      <c r="K7" s="110">
        <v>0</v>
      </c>
      <c r="L7" s="111">
        <v>299</v>
      </c>
      <c r="M7" s="110">
        <v>4</v>
      </c>
      <c r="N7" s="110"/>
      <c r="O7" s="111"/>
      <c r="P7" s="111">
        <v>0</v>
      </c>
      <c r="Q7" s="111">
        <v>0</v>
      </c>
      <c r="R7" s="111">
        <v>0</v>
      </c>
      <c r="S7" s="110"/>
      <c r="T7" s="111">
        <v>0</v>
      </c>
      <c r="U7" s="111">
        <v>0</v>
      </c>
      <c r="V7" s="111">
        <v>0</v>
      </c>
      <c r="W7" s="111">
        <v>0</v>
      </c>
      <c r="X7" s="110">
        <v>0</v>
      </c>
      <c r="Y7" s="111">
        <v>378.9</v>
      </c>
      <c r="Z7" s="111">
        <v>0</v>
      </c>
      <c r="AA7" s="111">
        <v>0</v>
      </c>
      <c r="AB7" s="111">
        <v>378.9</v>
      </c>
      <c r="AC7" s="110"/>
    </row>
    <row r="12" spans="1:29" ht="40" customHeight="1" x14ac:dyDescent="0.15">
      <c r="I12" s="119"/>
    </row>
  </sheetData>
  <mergeCells count="23">
    <mergeCell ref="W3:X3"/>
    <mergeCell ref="Y1:AC1"/>
    <mergeCell ref="S1:X1"/>
    <mergeCell ref="M1:R1"/>
    <mergeCell ref="J3:N3"/>
    <mergeCell ref="O3:S3"/>
    <mergeCell ref="F1:L1"/>
    <mergeCell ref="A1:E1"/>
    <mergeCell ref="A2:I2"/>
    <mergeCell ref="J2:AC2"/>
    <mergeCell ref="D3:D4"/>
    <mergeCell ref="C3:C4"/>
    <mergeCell ref="B3:B4"/>
    <mergeCell ref="A3:A4"/>
    <mergeCell ref="T3:T4"/>
    <mergeCell ref="Y3:Y4"/>
    <mergeCell ref="Z3:Z4"/>
    <mergeCell ref="AA3:AA4"/>
    <mergeCell ref="AB3:AB4"/>
    <mergeCell ref="AC3:AC4"/>
    <mergeCell ref="E3:E4"/>
    <mergeCell ref="F3:I3"/>
    <mergeCell ref="U3:V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1002"/>
  <sheetViews>
    <sheetView showGridLines="0" topLeftCell="N1" workbookViewId="0">
      <pane ySplit="1" topLeftCell="A2" activePane="bottomLeft" state="frozen"/>
      <selection pane="bottomLeft" sqref="A1:XFD1"/>
    </sheetView>
  </sheetViews>
  <sheetFormatPr baseColWidth="10" defaultColWidth="14.5" defaultRowHeight="15" customHeight="1" x14ac:dyDescent="0.15"/>
  <cols>
    <col min="1" max="1" width="33.33203125" style="15" customWidth="1"/>
    <col min="2" max="2" width="11.1640625" style="15" customWidth="1"/>
    <col min="3" max="3" width="17" style="15" customWidth="1"/>
    <col min="4" max="4" width="11.83203125" style="15" customWidth="1"/>
    <col min="5" max="5" width="17" style="15" customWidth="1"/>
    <col min="6" max="6" width="12.33203125" style="15" customWidth="1"/>
    <col min="7" max="7" width="17" style="15" customWidth="1"/>
    <col min="8" max="14" width="13" style="15" customWidth="1"/>
    <col min="15" max="15" width="19" style="15" customWidth="1"/>
    <col min="16" max="16" width="12.6640625" style="15" customWidth="1"/>
    <col min="17" max="17" width="16.83203125" style="15" customWidth="1"/>
    <col min="18" max="18" width="12.5" style="15" customWidth="1"/>
    <col min="19" max="25" width="17.5" style="15" customWidth="1"/>
    <col min="26" max="26" width="11.5" style="15" customWidth="1"/>
    <col min="27" max="27" width="17" style="15" customWidth="1"/>
    <col min="28" max="16384" width="14.5" style="15"/>
  </cols>
  <sheetData>
    <row r="1" spans="1:27" s="17" customFormat="1" ht="24.75" customHeight="1" x14ac:dyDescent="0.15">
      <c r="A1" s="135" t="s">
        <v>0</v>
      </c>
      <c r="B1" s="133"/>
      <c r="C1" s="133"/>
      <c r="D1" s="133"/>
      <c r="E1" s="133"/>
      <c r="F1" s="136">
        <v>45717</v>
      </c>
      <c r="G1" s="133"/>
      <c r="H1" s="133"/>
      <c r="I1" s="133"/>
      <c r="J1" s="89"/>
      <c r="K1" s="89"/>
      <c r="L1" s="89"/>
      <c r="M1" s="89"/>
      <c r="N1" s="89"/>
      <c r="R1" s="90"/>
      <c r="Z1" s="91"/>
      <c r="AA1" s="92"/>
    </row>
    <row r="2" spans="1:27" ht="13.5" customHeight="1" x14ac:dyDescent="0.1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9"/>
      <c r="S2" s="18"/>
      <c r="T2" s="18"/>
      <c r="U2" s="18"/>
      <c r="V2" s="18"/>
      <c r="W2" s="18"/>
      <c r="X2" s="18"/>
      <c r="Y2" s="18"/>
      <c r="Z2" s="18"/>
      <c r="AA2" s="18"/>
    </row>
    <row r="3" spans="1:27" s="17" customFormat="1" ht="19.5" customHeight="1" x14ac:dyDescent="0.15">
      <c r="A3" s="3" t="s">
        <v>1</v>
      </c>
      <c r="B3" s="137" t="s">
        <v>2</v>
      </c>
      <c r="C3" s="133"/>
      <c r="D3" s="137" t="s">
        <v>2</v>
      </c>
      <c r="E3" s="133"/>
      <c r="F3" s="137" t="s">
        <v>3</v>
      </c>
      <c r="G3" s="133"/>
      <c r="H3" s="132" t="s">
        <v>4</v>
      </c>
      <c r="I3" s="133"/>
      <c r="J3" s="132" t="s">
        <v>4</v>
      </c>
      <c r="K3" s="133"/>
      <c r="L3" s="132" t="s">
        <v>5</v>
      </c>
      <c r="M3" s="133"/>
      <c r="N3" s="134" t="s">
        <v>6</v>
      </c>
      <c r="O3" s="133"/>
      <c r="P3" s="134" t="s">
        <v>6</v>
      </c>
      <c r="Q3" s="133"/>
      <c r="R3" s="134" t="s">
        <v>7</v>
      </c>
      <c r="S3" s="133"/>
      <c r="T3" s="129" t="s">
        <v>45</v>
      </c>
      <c r="U3" s="130"/>
      <c r="V3" s="130" t="s">
        <v>45</v>
      </c>
      <c r="W3" s="130"/>
      <c r="X3" s="130" t="s">
        <v>46</v>
      </c>
      <c r="Y3" s="131"/>
      <c r="Z3" s="4" t="s">
        <v>8</v>
      </c>
      <c r="AA3" s="4" t="s">
        <v>9</v>
      </c>
    </row>
    <row r="4" spans="1:27" ht="20.25" customHeight="1" x14ac:dyDescent="0.15">
      <c r="A4" s="18"/>
      <c r="B4" s="20" t="s">
        <v>10</v>
      </c>
      <c r="C4" s="20" t="s">
        <v>11</v>
      </c>
      <c r="D4" s="20" t="s">
        <v>12</v>
      </c>
      <c r="E4" s="20" t="s">
        <v>11</v>
      </c>
      <c r="F4" s="20" t="s">
        <v>13</v>
      </c>
      <c r="G4" s="20" t="s">
        <v>14</v>
      </c>
      <c r="H4" s="20" t="s">
        <v>10</v>
      </c>
      <c r="I4" s="20" t="s">
        <v>11</v>
      </c>
      <c r="J4" s="20" t="s">
        <v>12</v>
      </c>
      <c r="K4" s="20" t="s">
        <v>11</v>
      </c>
      <c r="L4" s="20" t="s">
        <v>13</v>
      </c>
      <c r="M4" s="20" t="s">
        <v>14</v>
      </c>
      <c r="N4" s="20" t="s">
        <v>10</v>
      </c>
      <c r="O4" s="20" t="s">
        <v>11</v>
      </c>
      <c r="P4" s="20" t="s">
        <v>12</v>
      </c>
      <c r="Q4" s="20" t="s">
        <v>11</v>
      </c>
      <c r="R4" s="20" t="s">
        <v>13</v>
      </c>
      <c r="S4" s="20" t="s">
        <v>11</v>
      </c>
      <c r="T4" s="20" t="s">
        <v>10</v>
      </c>
      <c r="U4" s="20" t="s">
        <v>11</v>
      </c>
      <c r="V4" s="20" t="s">
        <v>12</v>
      </c>
      <c r="W4" s="20" t="s">
        <v>11</v>
      </c>
      <c r="X4" s="20" t="s">
        <v>13</v>
      </c>
      <c r="Y4" s="20" t="s">
        <v>11</v>
      </c>
      <c r="Z4" s="20" t="s">
        <v>15</v>
      </c>
      <c r="AA4" s="20" t="s">
        <v>11</v>
      </c>
    </row>
    <row r="5" spans="1:27" ht="19.5" customHeight="1" x14ac:dyDescent="0.15">
      <c r="A5" s="21">
        <v>46085</v>
      </c>
      <c r="B5" s="22"/>
      <c r="C5" s="23"/>
      <c r="D5" s="22"/>
      <c r="E5" s="23"/>
      <c r="F5" s="24">
        <f t="shared" ref="F5:F22" si="0">(B5+D5)</f>
        <v>0</v>
      </c>
      <c r="G5" s="25">
        <f t="shared" ref="G5:G22" si="1">SUM(C5+E5)</f>
        <v>0</v>
      </c>
      <c r="H5" s="26"/>
      <c r="I5" s="27"/>
      <c r="J5" s="26"/>
      <c r="K5" s="27"/>
      <c r="L5" s="28">
        <f t="shared" ref="L5:L22" si="2">(H5+J5)</f>
        <v>0</v>
      </c>
      <c r="M5" s="29">
        <f t="shared" ref="M5:M22" si="3">SUM(I5+K5)</f>
        <v>0</v>
      </c>
      <c r="N5" s="30"/>
      <c r="O5" s="31"/>
      <c r="P5" s="30"/>
      <c r="Q5" s="31"/>
      <c r="R5" s="32">
        <f t="shared" ref="R5:R22" si="4">(N5+P5)</f>
        <v>0</v>
      </c>
      <c r="S5" s="33">
        <f>SUM(O5+Q5)</f>
        <v>0</v>
      </c>
      <c r="T5" s="34"/>
      <c r="U5" s="35"/>
      <c r="V5" s="36"/>
      <c r="W5" s="37"/>
      <c r="X5" s="38">
        <f>T5+V5</f>
        <v>0</v>
      </c>
      <c r="Y5" s="39">
        <f>U5+W5</f>
        <v>0</v>
      </c>
      <c r="Z5" s="40"/>
      <c r="AA5" s="41">
        <f>SUM(G5+M5+S5+Y5+Z5)</f>
        <v>0</v>
      </c>
    </row>
    <row r="6" spans="1:27" ht="19.5" customHeight="1" x14ac:dyDescent="0.15">
      <c r="A6" s="21">
        <v>46086</v>
      </c>
      <c r="B6" s="22"/>
      <c r="C6" s="23"/>
      <c r="D6" s="22"/>
      <c r="E6" s="23"/>
      <c r="F6" s="24">
        <f t="shared" si="0"/>
        <v>0</v>
      </c>
      <c r="G6" s="25">
        <f t="shared" si="1"/>
        <v>0</v>
      </c>
      <c r="H6" s="26"/>
      <c r="I6" s="27"/>
      <c r="J6" s="26"/>
      <c r="K6" s="27"/>
      <c r="L6" s="28">
        <f t="shared" si="2"/>
        <v>0</v>
      </c>
      <c r="M6" s="29">
        <f t="shared" si="3"/>
        <v>0</v>
      </c>
      <c r="N6" s="30"/>
      <c r="O6" s="31"/>
      <c r="P6" s="30"/>
      <c r="Q6" s="31"/>
      <c r="R6" s="32">
        <f t="shared" si="4"/>
        <v>0</v>
      </c>
      <c r="S6" s="33">
        <f t="shared" ref="S6:S22" si="5">SUM(O6+Q6)</f>
        <v>0</v>
      </c>
      <c r="T6" s="34"/>
      <c r="U6" s="35"/>
      <c r="V6" s="36"/>
      <c r="W6" s="37"/>
      <c r="X6" s="38">
        <f>T6+V6</f>
        <v>0</v>
      </c>
      <c r="Y6" s="39">
        <f t="shared" ref="Y6:Y22" si="6">U6+W6</f>
        <v>0</v>
      </c>
      <c r="Z6" s="40"/>
      <c r="AA6" s="41">
        <f t="shared" ref="AA6:AA22" si="7">SUM(G6+M6+S6+Y6+Z6)</f>
        <v>0</v>
      </c>
    </row>
    <row r="7" spans="1:27" ht="19.5" customHeight="1" x14ac:dyDescent="0.15">
      <c r="A7" s="21">
        <v>46088</v>
      </c>
      <c r="B7" s="22"/>
      <c r="C7" s="23"/>
      <c r="D7" s="22"/>
      <c r="E7" s="23"/>
      <c r="F7" s="24">
        <f t="shared" si="0"/>
        <v>0</v>
      </c>
      <c r="G7" s="25">
        <f t="shared" si="1"/>
        <v>0</v>
      </c>
      <c r="H7" s="26"/>
      <c r="I7" s="27"/>
      <c r="J7" s="26"/>
      <c r="K7" s="27"/>
      <c r="L7" s="28">
        <f t="shared" si="2"/>
        <v>0</v>
      </c>
      <c r="M7" s="29">
        <f t="shared" si="3"/>
        <v>0</v>
      </c>
      <c r="N7" s="30"/>
      <c r="O7" s="31"/>
      <c r="P7" s="30"/>
      <c r="Q7" s="31"/>
      <c r="R7" s="32">
        <f t="shared" si="4"/>
        <v>0</v>
      </c>
      <c r="S7" s="33">
        <f t="shared" si="5"/>
        <v>0</v>
      </c>
      <c r="T7" s="34"/>
      <c r="U7" s="35"/>
      <c r="V7" s="36"/>
      <c r="W7" s="37"/>
      <c r="X7" s="38">
        <f t="shared" ref="X7:X22" si="8">T7+V7</f>
        <v>0</v>
      </c>
      <c r="Y7" s="39">
        <f t="shared" si="6"/>
        <v>0</v>
      </c>
      <c r="Z7" s="40"/>
      <c r="AA7" s="41">
        <f t="shared" si="7"/>
        <v>0</v>
      </c>
    </row>
    <row r="8" spans="1:27" ht="19.5" customHeight="1" x14ac:dyDescent="0.15">
      <c r="A8" s="21">
        <v>46092</v>
      </c>
      <c r="B8" s="22"/>
      <c r="C8" s="23"/>
      <c r="D8" s="22"/>
      <c r="E8" s="23"/>
      <c r="F8" s="24">
        <f t="shared" si="0"/>
        <v>0</v>
      </c>
      <c r="G8" s="25">
        <f t="shared" si="1"/>
        <v>0</v>
      </c>
      <c r="H8" s="26"/>
      <c r="I8" s="27"/>
      <c r="J8" s="26"/>
      <c r="K8" s="27"/>
      <c r="L8" s="28">
        <f t="shared" si="2"/>
        <v>0</v>
      </c>
      <c r="M8" s="29">
        <f t="shared" si="3"/>
        <v>0</v>
      </c>
      <c r="N8" s="30"/>
      <c r="O8" s="31"/>
      <c r="P8" s="30"/>
      <c r="Q8" s="31"/>
      <c r="R8" s="32">
        <f t="shared" si="4"/>
        <v>0</v>
      </c>
      <c r="S8" s="33">
        <f t="shared" si="5"/>
        <v>0</v>
      </c>
      <c r="T8" s="34"/>
      <c r="U8" s="35"/>
      <c r="V8" s="36"/>
      <c r="W8" s="37"/>
      <c r="X8" s="38">
        <f t="shared" si="8"/>
        <v>0</v>
      </c>
      <c r="Y8" s="39">
        <f t="shared" si="6"/>
        <v>0</v>
      </c>
      <c r="Z8" s="40"/>
      <c r="AA8" s="41">
        <f t="shared" si="7"/>
        <v>0</v>
      </c>
    </row>
    <row r="9" spans="1:27" ht="19.5" customHeight="1" x14ac:dyDescent="0.15">
      <c r="A9" s="21">
        <v>46093</v>
      </c>
      <c r="B9" s="22"/>
      <c r="C9" s="23"/>
      <c r="D9" s="22"/>
      <c r="E9" s="23"/>
      <c r="F9" s="24">
        <f t="shared" si="0"/>
        <v>0</v>
      </c>
      <c r="G9" s="25">
        <f t="shared" si="1"/>
        <v>0</v>
      </c>
      <c r="H9" s="26"/>
      <c r="I9" s="27"/>
      <c r="J9" s="26"/>
      <c r="K9" s="27"/>
      <c r="L9" s="28">
        <f t="shared" si="2"/>
        <v>0</v>
      </c>
      <c r="M9" s="29">
        <f t="shared" si="3"/>
        <v>0</v>
      </c>
      <c r="N9" s="30"/>
      <c r="O9" s="31"/>
      <c r="P9" s="30"/>
      <c r="Q9" s="31"/>
      <c r="R9" s="32">
        <f t="shared" si="4"/>
        <v>0</v>
      </c>
      <c r="S9" s="33">
        <f t="shared" si="5"/>
        <v>0</v>
      </c>
      <c r="T9" s="34"/>
      <c r="U9" s="35"/>
      <c r="V9" s="36"/>
      <c r="W9" s="37"/>
      <c r="X9" s="38">
        <f t="shared" si="8"/>
        <v>0</v>
      </c>
      <c r="Y9" s="39">
        <f t="shared" si="6"/>
        <v>0</v>
      </c>
      <c r="Z9" s="40"/>
      <c r="AA9" s="41">
        <f t="shared" si="7"/>
        <v>0</v>
      </c>
    </row>
    <row r="10" spans="1:27" ht="19.5" customHeight="1" x14ac:dyDescent="0.15">
      <c r="A10" s="21">
        <v>46095</v>
      </c>
      <c r="B10" s="22"/>
      <c r="C10" s="23"/>
      <c r="D10" s="22"/>
      <c r="E10" s="23"/>
      <c r="F10" s="24">
        <f t="shared" si="0"/>
        <v>0</v>
      </c>
      <c r="G10" s="25">
        <f t="shared" si="1"/>
        <v>0</v>
      </c>
      <c r="H10" s="26"/>
      <c r="I10" s="27"/>
      <c r="J10" s="26"/>
      <c r="K10" s="27"/>
      <c r="L10" s="28">
        <f t="shared" si="2"/>
        <v>0</v>
      </c>
      <c r="M10" s="29">
        <f t="shared" si="3"/>
        <v>0</v>
      </c>
      <c r="N10" s="30"/>
      <c r="O10" s="31"/>
      <c r="P10" s="30"/>
      <c r="Q10" s="31"/>
      <c r="R10" s="32">
        <f t="shared" si="4"/>
        <v>0</v>
      </c>
      <c r="S10" s="33">
        <f t="shared" si="5"/>
        <v>0</v>
      </c>
      <c r="T10" s="34"/>
      <c r="U10" s="35"/>
      <c r="V10" s="36"/>
      <c r="W10" s="37"/>
      <c r="X10" s="38">
        <f t="shared" si="8"/>
        <v>0</v>
      </c>
      <c r="Y10" s="39">
        <f t="shared" si="6"/>
        <v>0</v>
      </c>
      <c r="Z10" s="40"/>
      <c r="AA10" s="41">
        <f t="shared" si="7"/>
        <v>0</v>
      </c>
    </row>
    <row r="11" spans="1:27" ht="19.5" customHeight="1" x14ac:dyDescent="0.15">
      <c r="A11" s="21">
        <v>46099</v>
      </c>
      <c r="B11" s="22"/>
      <c r="C11" s="23"/>
      <c r="D11" s="22"/>
      <c r="E11" s="23"/>
      <c r="F11" s="24">
        <f t="shared" si="0"/>
        <v>0</v>
      </c>
      <c r="G11" s="25">
        <f t="shared" si="1"/>
        <v>0</v>
      </c>
      <c r="H11" s="26"/>
      <c r="I11" s="27"/>
      <c r="J11" s="26"/>
      <c r="K11" s="27"/>
      <c r="L11" s="28">
        <f t="shared" si="2"/>
        <v>0</v>
      </c>
      <c r="M11" s="29">
        <f t="shared" si="3"/>
        <v>0</v>
      </c>
      <c r="N11" s="30"/>
      <c r="O11" s="31"/>
      <c r="P11" s="30"/>
      <c r="Q11" s="31"/>
      <c r="R11" s="32">
        <f t="shared" si="4"/>
        <v>0</v>
      </c>
      <c r="S11" s="33">
        <f t="shared" si="5"/>
        <v>0</v>
      </c>
      <c r="T11" s="34"/>
      <c r="U11" s="35"/>
      <c r="V11" s="36"/>
      <c r="W11" s="37"/>
      <c r="X11" s="38">
        <f t="shared" si="8"/>
        <v>0</v>
      </c>
      <c r="Y11" s="39">
        <f t="shared" si="6"/>
        <v>0</v>
      </c>
      <c r="Z11" s="40"/>
      <c r="AA11" s="41">
        <f t="shared" si="7"/>
        <v>0</v>
      </c>
    </row>
    <row r="12" spans="1:27" ht="19.5" customHeight="1" x14ac:dyDescent="0.15">
      <c r="A12" s="21">
        <v>46100</v>
      </c>
      <c r="B12" s="22"/>
      <c r="C12" s="23"/>
      <c r="D12" s="22"/>
      <c r="E12" s="23"/>
      <c r="F12" s="24">
        <f t="shared" si="0"/>
        <v>0</v>
      </c>
      <c r="G12" s="25">
        <f t="shared" si="1"/>
        <v>0</v>
      </c>
      <c r="H12" s="26"/>
      <c r="I12" s="27"/>
      <c r="J12" s="26"/>
      <c r="K12" s="27"/>
      <c r="L12" s="28">
        <f t="shared" si="2"/>
        <v>0</v>
      </c>
      <c r="M12" s="29">
        <f t="shared" si="3"/>
        <v>0</v>
      </c>
      <c r="N12" s="30"/>
      <c r="O12" s="31"/>
      <c r="P12" s="30"/>
      <c r="Q12" s="31"/>
      <c r="R12" s="32">
        <f t="shared" si="4"/>
        <v>0</v>
      </c>
      <c r="S12" s="33">
        <f t="shared" si="5"/>
        <v>0</v>
      </c>
      <c r="T12" s="34"/>
      <c r="U12" s="35"/>
      <c r="V12" s="36"/>
      <c r="W12" s="37"/>
      <c r="X12" s="38">
        <f t="shared" si="8"/>
        <v>0</v>
      </c>
      <c r="Y12" s="39">
        <f t="shared" si="6"/>
        <v>0</v>
      </c>
      <c r="Z12" s="40"/>
      <c r="AA12" s="41">
        <f t="shared" si="7"/>
        <v>0</v>
      </c>
    </row>
    <row r="13" spans="1:27" ht="19.5" customHeight="1" x14ac:dyDescent="0.15">
      <c r="A13" s="21">
        <v>46102</v>
      </c>
      <c r="B13" s="22"/>
      <c r="C13" s="23"/>
      <c r="D13" s="22"/>
      <c r="E13" s="23"/>
      <c r="F13" s="24">
        <f t="shared" si="0"/>
        <v>0</v>
      </c>
      <c r="G13" s="25">
        <f t="shared" si="1"/>
        <v>0</v>
      </c>
      <c r="H13" s="26"/>
      <c r="I13" s="27"/>
      <c r="J13" s="26"/>
      <c r="K13" s="27"/>
      <c r="L13" s="28">
        <f t="shared" si="2"/>
        <v>0</v>
      </c>
      <c r="M13" s="29">
        <f t="shared" si="3"/>
        <v>0</v>
      </c>
      <c r="N13" s="30"/>
      <c r="O13" s="31"/>
      <c r="P13" s="30"/>
      <c r="Q13" s="31"/>
      <c r="R13" s="32">
        <f t="shared" si="4"/>
        <v>0</v>
      </c>
      <c r="S13" s="33">
        <f t="shared" si="5"/>
        <v>0</v>
      </c>
      <c r="T13" s="34"/>
      <c r="U13" s="35"/>
      <c r="V13" s="36"/>
      <c r="W13" s="37"/>
      <c r="X13" s="38">
        <f t="shared" si="8"/>
        <v>0</v>
      </c>
      <c r="Y13" s="39">
        <f t="shared" si="6"/>
        <v>0</v>
      </c>
      <c r="Z13" s="40"/>
      <c r="AA13" s="41">
        <f t="shared" si="7"/>
        <v>0</v>
      </c>
    </row>
    <row r="14" spans="1:27" ht="19.5" customHeight="1" x14ac:dyDescent="0.15">
      <c r="A14" s="21">
        <v>46106</v>
      </c>
      <c r="B14" s="22"/>
      <c r="C14" s="23"/>
      <c r="D14" s="22"/>
      <c r="E14" s="23"/>
      <c r="F14" s="24">
        <f t="shared" si="0"/>
        <v>0</v>
      </c>
      <c r="G14" s="25">
        <f t="shared" si="1"/>
        <v>0</v>
      </c>
      <c r="H14" s="26"/>
      <c r="I14" s="27"/>
      <c r="J14" s="26"/>
      <c r="K14" s="27"/>
      <c r="L14" s="28">
        <f t="shared" si="2"/>
        <v>0</v>
      </c>
      <c r="M14" s="29">
        <f t="shared" si="3"/>
        <v>0</v>
      </c>
      <c r="N14" s="30"/>
      <c r="O14" s="31"/>
      <c r="P14" s="30"/>
      <c r="Q14" s="31"/>
      <c r="R14" s="32">
        <f t="shared" si="4"/>
        <v>0</v>
      </c>
      <c r="S14" s="33">
        <f t="shared" si="5"/>
        <v>0</v>
      </c>
      <c r="T14" s="34"/>
      <c r="U14" s="35"/>
      <c r="V14" s="36"/>
      <c r="W14" s="37"/>
      <c r="X14" s="38">
        <f t="shared" si="8"/>
        <v>0</v>
      </c>
      <c r="Y14" s="39">
        <f t="shared" si="6"/>
        <v>0</v>
      </c>
      <c r="Z14" s="40"/>
      <c r="AA14" s="41">
        <f t="shared" si="7"/>
        <v>0</v>
      </c>
    </row>
    <row r="15" spans="1:27" ht="19.5" customHeight="1" x14ac:dyDescent="0.15">
      <c r="A15" s="21">
        <v>46107</v>
      </c>
      <c r="B15" s="22"/>
      <c r="C15" s="23"/>
      <c r="D15" s="22"/>
      <c r="E15" s="23"/>
      <c r="F15" s="24">
        <f t="shared" si="0"/>
        <v>0</v>
      </c>
      <c r="G15" s="25">
        <f t="shared" si="1"/>
        <v>0</v>
      </c>
      <c r="H15" s="26"/>
      <c r="I15" s="27"/>
      <c r="J15" s="26"/>
      <c r="K15" s="27"/>
      <c r="L15" s="28">
        <f t="shared" si="2"/>
        <v>0</v>
      </c>
      <c r="M15" s="29">
        <f t="shared" si="3"/>
        <v>0</v>
      </c>
      <c r="N15" s="30"/>
      <c r="O15" s="31"/>
      <c r="P15" s="30"/>
      <c r="Q15" s="31"/>
      <c r="R15" s="32">
        <f t="shared" si="4"/>
        <v>0</v>
      </c>
      <c r="S15" s="33">
        <f t="shared" si="5"/>
        <v>0</v>
      </c>
      <c r="T15" s="34"/>
      <c r="U15" s="35"/>
      <c r="V15" s="36"/>
      <c r="W15" s="37"/>
      <c r="X15" s="38">
        <f t="shared" si="8"/>
        <v>0</v>
      </c>
      <c r="Y15" s="39">
        <f t="shared" si="6"/>
        <v>0</v>
      </c>
      <c r="Z15" s="40"/>
      <c r="AA15" s="41">
        <f t="shared" si="7"/>
        <v>0</v>
      </c>
    </row>
    <row r="16" spans="1:27" ht="19.5" customHeight="1" x14ac:dyDescent="0.15">
      <c r="A16" s="21">
        <v>46109</v>
      </c>
      <c r="B16" s="22"/>
      <c r="C16" s="23"/>
      <c r="D16" s="22"/>
      <c r="E16" s="23"/>
      <c r="F16" s="24">
        <f t="shared" si="0"/>
        <v>0</v>
      </c>
      <c r="G16" s="25">
        <f t="shared" si="1"/>
        <v>0</v>
      </c>
      <c r="H16" s="26"/>
      <c r="I16" s="27"/>
      <c r="J16" s="26"/>
      <c r="K16" s="27"/>
      <c r="L16" s="28">
        <f t="shared" si="2"/>
        <v>0</v>
      </c>
      <c r="M16" s="29">
        <f t="shared" si="3"/>
        <v>0</v>
      </c>
      <c r="N16" s="30"/>
      <c r="O16" s="31"/>
      <c r="P16" s="30"/>
      <c r="Q16" s="31"/>
      <c r="R16" s="32">
        <f t="shared" si="4"/>
        <v>0</v>
      </c>
      <c r="S16" s="33">
        <f t="shared" si="5"/>
        <v>0</v>
      </c>
      <c r="T16" s="34"/>
      <c r="U16" s="35"/>
      <c r="V16" s="36"/>
      <c r="W16" s="37"/>
      <c r="X16" s="38">
        <f t="shared" si="8"/>
        <v>0</v>
      </c>
      <c r="Y16" s="39">
        <f t="shared" si="6"/>
        <v>0</v>
      </c>
      <c r="Z16" s="40"/>
      <c r="AA16" s="41">
        <f t="shared" si="7"/>
        <v>0</v>
      </c>
    </row>
    <row r="17" spans="1:27" ht="19.5" customHeight="1" x14ac:dyDescent="0.15">
      <c r="A17" s="21">
        <v>46112</v>
      </c>
      <c r="B17" s="22">
        <v>1</v>
      </c>
      <c r="C17" s="23">
        <v>468</v>
      </c>
      <c r="D17" s="22">
        <v>1</v>
      </c>
      <c r="E17" s="23">
        <v>0</v>
      </c>
      <c r="F17" s="24">
        <f t="shared" si="0"/>
        <v>2</v>
      </c>
      <c r="G17" s="25">
        <f t="shared" si="1"/>
        <v>468</v>
      </c>
      <c r="H17" s="26">
        <v>0</v>
      </c>
      <c r="I17" s="27">
        <v>0</v>
      </c>
      <c r="J17" s="26">
        <v>3</v>
      </c>
      <c r="K17" s="27">
        <v>1179.95</v>
      </c>
      <c r="L17" s="28">
        <f t="shared" si="2"/>
        <v>3</v>
      </c>
      <c r="M17" s="29">
        <f t="shared" si="3"/>
        <v>1179.95</v>
      </c>
      <c r="N17" s="30">
        <v>1</v>
      </c>
      <c r="O17" s="31">
        <v>148.94999999999999</v>
      </c>
      <c r="P17" s="30">
        <v>0</v>
      </c>
      <c r="Q17" s="31">
        <v>0</v>
      </c>
      <c r="R17" s="32">
        <f t="shared" si="4"/>
        <v>1</v>
      </c>
      <c r="S17" s="33">
        <f t="shared" si="5"/>
        <v>148.94999999999999</v>
      </c>
      <c r="T17" s="34"/>
      <c r="U17" s="35"/>
      <c r="V17" s="42"/>
      <c r="W17" s="43"/>
      <c r="X17" s="38">
        <f t="shared" si="8"/>
        <v>0</v>
      </c>
      <c r="Y17" s="39">
        <f t="shared" si="6"/>
        <v>0</v>
      </c>
      <c r="Z17" s="40">
        <v>0</v>
      </c>
      <c r="AA17" s="41">
        <f t="shared" si="7"/>
        <v>1796.9</v>
      </c>
    </row>
    <row r="18" spans="1:27" ht="19.5" customHeight="1" x14ac:dyDescent="0.15">
      <c r="A18" s="21"/>
      <c r="B18" s="22"/>
      <c r="C18" s="23"/>
      <c r="D18" s="22"/>
      <c r="E18" s="23"/>
      <c r="F18" s="24">
        <f t="shared" si="0"/>
        <v>0</v>
      </c>
      <c r="G18" s="25">
        <f t="shared" si="1"/>
        <v>0</v>
      </c>
      <c r="H18" s="26"/>
      <c r="I18" s="27"/>
      <c r="J18" s="26"/>
      <c r="K18" s="27"/>
      <c r="L18" s="28">
        <f t="shared" si="2"/>
        <v>0</v>
      </c>
      <c r="M18" s="29">
        <f t="shared" si="3"/>
        <v>0</v>
      </c>
      <c r="N18" s="30"/>
      <c r="O18" s="31"/>
      <c r="P18" s="30"/>
      <c r="Q18" s="31"/>
      <c r="R18" s="32">
        <f t="shared" si="4"/>
        <v>0</v>
      </c>
      <c r="S18" s="33">
        <f t="shared" si="5"/>
        <v>0</v>
      </c>
      <c r="T18" s="34"/>
      <c r="U18" s="35"/>
      <c r="V18" s="36"/>
      <c r="W18" s="37"/>
      <c r="X18" s="38">
        <f t="shared" si="8"/>
        <v>0</v>
      </c>
      <c r="Y18" s="39">
        <f t="shared" si="6"/>
        <v>0</v>
      </c>
      <c r="Z18" s="40"/>
      <c r="AA18" s="41">
        <f t="shared" si="7"/>
        <v>0</v>
      </c>
    </row>
    <row r="19" spans="1:27" ht="19.5" customHeight="1" x14ac:dyDescent="0.15">
      <c r="A19" s="44"/>
      <c r="B19" s="22"/>
      <c r="C19" s="23"/>
      <c r="D19" s="22"/>
      <c r="E19" s="23"/>
      <c r="F19" s="24">
        <f t="shared" si="0"/>
        <v>0</v>
      </c>
      <c r="G19" s="25">
        <f t="shared" si="1"/>
        <v>0</v>
      </c>
      <c r="H19" s="26"/>
      <c r="I19" s="27"/>
      <c r="J19" s="26"/>
      <c r="K19" s="27"/>
      <c r="L19" s="28">
        <f t="shared" si="2"/>
        <v>0</v>
      </c>
      <c r="M19" s="29">
        <f t="shared" si="3"/>
        <v>0</v>
      </c>
      <c r="N19" s="30"/>
      <c r="O19" s="31"/>
      <c r="P19" s="30"/>
      <c r="Q19" s="31"/>
      <c r="R19" s="32">
        <f t="shared" si="4"/>
        <v>0</v>
      </c>
      <c r="S19" s="33">
        <f t="shared" si="5"/>
        <v>0</v>
      </c>
      <c r="T19" s="34"/>
      <c r="U19" s="35"/>
      <c r="V19" s="36"/>
      <c r="W19" s="37"/>
      <c r="X19" s="38">
        <f t="shared" si="8"/>
        <v>0</v>
      </c>
      <c r="Y19" s="39">
        <f t="shared" si="6"/>
        <v>0</v>
      </c>
      <c r="Z19" s="40"/>
      <c r="AA19" s="41">
        <f t="shared" si="7"/>
        <v>0</v>
      </c>
    </row>
    <row r="20" spans="1:27" ht="19.5" customHeight="1" x14ac:dyDescent="0.15">
      <c r="A20" s="45"/>
      <c r="B20" s="22"/>
      <c r="C20" s="23"/>
      <c r="D20" s="22"/>
      <c r="E20" s="23"/>
      <c r="F20" s="24">
        <f t="shared" si="0"/>
        <v>0</v>
      </c>
      <c r="G20" s="25">
        <f t="shared" si="1"/>
        <v>0</v>
      </c>
      <c r="H20" s="26"/>
      <c r="I20" s="27"/>
      <c r="J20" s="26"/>
      <c r="K20" s="27"/>
      <c r="L20" s="28">
        <f t="shared" si="2"/>
        <v>0</v>
      </c>
      <c r="M20" s="29">
        <f t="shared" si="3"/>
        <v>0</v>
      </c>
      <c r="N20" s="30"/>
      <c r="O20" s="31"/>
      <c r="P20" s="30"/>
      <c r="Q20" s="31"/>
      <c r="R20" s="32">
        <f t="shared" si="4"/>
        <v>0</v>
      </c>
      <c r="S20" s="33">
        <f t="shared" si="5"/>
        <v>0</v>
      </c>
      <c r="T20" s="34"/>
      <c r="U20" s="35"/>
      <c r="V20" s="36"/>
      <c r="W20" s="37"/>
      <c r="X20" s="38">
        <f t="shared" si="8"/>
        <v>0</v>
      </c>
      <c r="Y20" s="39">
        <f t="shared" si="6"/>
        <v>0</v>
      </c>
      <c r="Z20" s="40"/>
      <c r="AA20" s="41">
        <f t="shared" si="7"/>
        <v>0</v>
      </c>
    </row>
    <row r="21" spans="1:27" ht="19.5" customHeight="1" x14ac:dyDescent="0.15">
      <c r="A21" s="21"/>
      <c r="B21" s="22"/>
      <c r="C21" s="23"/>
      <c r="D21" s="22"/>
      <c r="E21" s="23"/>
      <c r="F21" s="24">
        <f t="shared" si="0"/>
        <v>0</v>
      </c>
      <c r="G21" s="25">
        <f t="shared" si="1"/>
        <v>0</v>
      </c>
      <c r="H21" s="26"/>
      <c r="I21" s="27"/>
      <c r="J21" s="26"/>
      <c r="K21" s="27"/>
      <c r="L21" s="28">
        <f t="shared" si="2"/>
        <v>0</v>
      </c>
      <c r="M21" s="29">
        <f t="shared" si="3"/>
        <v>0</v>
      </c>
      <c r="N21" s="30"/>
      <c r="O21" s="31"/>
      <c r="P21" s="30"/>
      <c r="Q21" s="31"/>
      <c r="R21" s="32">
        <f t="shared" si="4"/>
        <v>0</v>
      </c>
      <c r="S21" s="33">
        <f t="shared" si="5"/>
        <v>0</v>
      </c>
      <c r="T21" s="34"/>
      <c r="U21" s="35"/>
      <c r="V21" s="36"/>
      <c r="W21" s="37"/>
      <c r="X21" s="38">
        <f t="shared" si="8"/>
        <v>0</v>
      </c>
      <c r="Y21" s="39">
        <f t="shared" si="6"/>
        <v>0</v>
      </c>
      <c r="Z21" s="40"/>
      <c r="AA21" s="41">
        <f t="shared" si="7"/>
        <v>0</v>
      </c>
    </row>
    <row r="22" spans="1:27" ht="19.5" customHeight="1" x14ac:dyDescent="0.15">
      <c r="A22" s="21"/>
      <c r="B22" s="22"/>
      <c r="C22" s="23"/>
      <c r="D22" s="22"/>
      <c r="E22" s="23"/>
      <c r="F22" s="24">
        <f t="shared" si="0"/>
        <v>0</v>
      </c>
      <c r="G22" s="25">
        <f t="shared" si="1"/>
        <v>0</v>
      </c>
      <c r="H22" s="26"/>
      <c r="I22" s="27"/>
      <c r="J22" s="26"/>
      <c r="K22" s="27"/>
      <c r="L22" s="28">
        <f t="shared" si="2"/>
        <v>0</v>
      </c>
      <c r="M22" s="29">
        <f t="shared" si="3"/>
        <v>0</v>
      </c>
      <c r="N22" s="30"/>
      <c r="O22" s="31"/>
      <c r="P22" s="30"/>
      <c r="Q22" s="31"/>
      <c r="R22" s="32">
        <f t="shared" si="4"/>
        <v>0</v>
      </c>
      <c r="S22" s="33">
        <f t="shared" si="5"/>
        <v>0</v>
      </c>
      <c r="T22" s="34"/>
      <c r="U22" s="46"/>
      <c r="V22" s="36"/>
      <c r="W22" s="37"/>
      <c r="X22" s="38">
        <f t="shared" si="8"/>
        <v>0</v>
      </c>
      <c r="Y22" s="39">
        <f t="shared" si="6"/>
        <v>0</v>
      </c>
      <c r="Z22" s="40"/>
      <c r="AA22" s="41">
        <f t="shared" si="7"/>
        <v>0</v>
      </c>
    </row>
    <row r="23" spans="1:27" s="16" customFormat="1" ht="19.5" customHeight="1" x14ac:dyDescent="0.15">
      <c r="A23" s="47" t="s">
        <v>9</v>
      </c>
      <c r="B23" s="48">
        <f t="shared" ref="B23:C23" si="9">SUM(B5:B22)</f>
        <v>1</v>
      </c>
      <c r="C23" s="49">
        <f t="shared" si="9"/>
        <v>468</v>
      </c>
      <c r="D23" s="48">
        <f t="shared" ref="D23:E23" si="10">SUM(D5:D22)</f>
        <v>1</v>
      </c>
      <c r="E23" s="49">
        <f t="shared" si="10"/>
        <v>0</v>
      </c>
      <c r="F23" s="48">
        <f t="shared" ref="F23:G23" si="11">SUM(F5:F22)</f>
        <v>2</v>
      </c>
      <c r="G23" s="49">
        <f t="shared" si="11"/>
        <v>468</v>
      </c>
      <c r="H23" s="48">
        <f t="shared" ref="H23:I23" si="12">SUM(H5:H22)</f>
        <v>0</v>
      </c>
      <c r="I23" s="49">
        <f t="shared" si="12"/>
        <v>0</v>
      </c>
      <c r="J23" s="48">
        <f t="shared" ref="J23:K23" si="13">SUM(J5:J22)</f>
        <v>3</v>
      </c>
      <c r="K23" s="49">
        <f t="shared" si="13"/>
        <v>1179.95</v>
      </c>
      <c r="L23" s="48">
        <f t="shared" ref="L23:M23" si="14">SUM(L5:L22)</f>
        <v>3</v>
      </c>
      <c r="M23" s="49">
        <f t="shared" si="14"/>
        <v>1179.95</v>
      </c>
      <c r="N23" s="48">
        <f t="shared" ref="N23" si="15">SUM(N5:N22)</f>
        <v>1</v>
      </c>
      <c r="O23" s="49">
        <f>SUM(O5:O22)</f>
        <v>148.94999999999999</v>
      </c>
      <c r="P23" s="48">
        <f t="shared" ref="P23:Q23" si="16">SUM(P5:P22)</f>
        <v>0</v>
      </c>
      <c r="Q23" s="49">
        <f t="shared" si="16"/>
        <v>0</v>
      </c>
      <c r="R23" s="48">
        <f t="shared" ref="R23:Z23" si="17">SUM(R5:R22)</f>
        <v>1</v>
      </c>
      <c r="S23" s="49">
        <f t="shared" si="17"/>
        <v>148.94999999999999</v>
      </c>
      <c r="T23" s="50">
        <f t="shared" si="17"/>
        <v>0</v>
      </c>
      <c r="U23" s="51">
        <f>SUM(U5:U22)</f>
        <v>0</v>
      </c>
      <c r="V23" s="52">
        <f t="shared" si="17"/>
        <v>0</v>
      </c>
      <c r="W23" s="49">
        <f t="shared" si="17"/>
        <v>0</v>
      </c>
      <c r="X23" s="48">
        <f t="shared" ref="X23:Y23" si="18">SUM(X5:X22)</f>
        <v>0</v>
      </c>
      <c r="Y23" s="49">
        <f t="shared" si="18"/>
        <v>0</v>
      </c>
      <c r="Z23" s="49">
        <f t="shared" si="17"/>
        <v>0</v>
      </c>
      <c r="AA23" s="49">
        <f>SUM(AA5:AA22)</f>
        <v>1796.9</v>
      </c>
    </row>
    <row r="24" spans="1:27" s="16" customFormat="1" ht="19.5" customHeight="1" x14ac:dyDescent="0.15">
      <c r="A24" s="47" t="s">
        <v>16</v>
      </c>
      <c r="B24" s="53">
        <f t="shared" ref="B24:S24" si="19">AVERAGEIFS(B5:B22, $AA5:$AA22, "&gt;0")</f>
        <v>1</v>
      </c>
      <c r="C24" s="54">
        <f t="shared" si="19"/>
        <v>468</v>
      </c>
      <c r="D24" s="53">
        <f t="shared" si="19"/>
        <v>1</v>
      </c>
      <c r="E24" s="54">
        <f t="shared" si="19"/>
        <v>0</v>
      </c>
      <c r="F24" s="53">
        <f t="shared" si="19"/>
        <v>2</v>
      </c>
      <c r="G24" s="54">
        <f t="shared" si="19"/>
        <v>468</v>
      </c>
      <c r="H24" s="53">
        <f t="shared" si="19"/>
        <v>0</v>
      </c>
      <c r="I24" s="54">
        <f t="shared" si="19"/>
        <v>0</v>
      </c>
      <c r="J24" s="53">
        <f t="shared" si="19"/>
        <v>3</v>
      </c>
      <c r="K24" s="54">
        <f t="shared" si="19"/>
        <v>1179.95</v>
      </c>
      <c r="L24" s="53">
        <f t="shared" si="19"/>
        <v>3</v>
      </c>
      <c r="M24" s="54">
        <f t="shared" si="19"/>
        <v>1179.95</v>
      </c>
      <c r="N24" s="53">
        <f t="shared" si="19"/>
        <v>1</v>
      </c>
      <c r="O24" s="54">
        <f>AVERAGEIFS(O5:O22, $AA5:$AA22, "&gt;0")</f>
        <v>148.94999999999999</v>
      </c>
      <c r="P24" s="53">
        <f t="shared" si="19"/>
        <v>0</v>
      </c>
      <c r="Q24" s="54">
        <f t="shared" si="19"/>
        <v>0</v>
      </c>
      <c r="R24" s="53">
        <f t="shared" si="19"/>
        <v>1</v>
      </c>
      <c r="S24" s="54">
        <f t="shared" si="19"/>
        <v>148.94999999999999</v>
      </c>
      <c r="T24" s="55">
        <f t="shared" ref="T24:AA24" si="20">IFERROR(AVERAGEIF($AA$5:$AA$22,"&gt;0",T$5:T$22),0)</f>
        <v>0</v>
      </c>
      <c r="U24" s="56">
        <f t="shared" si="20"/>
        <v>0</v>
      </c>
      <c r="V24" s="57">
        <f t="shared" si="20"/>
        <v>0</v>
      </c>
      <c r="W24" s="54">
        <f t="shared" si="20"/>
        <v>0</v>
      </c>
      <c r="X24" s="53">
        <f t="shared" si="20"/>
        <v>0</v>
      </c>
      <c r="Y24" s="54">
        <f t="shared" si="20"/>
        <v>0</v>
      </c>
      <c r="Z24" s="49">
        <f t="shared" si="20"/>
        <v>0</v>
      </c>
      <c r="AA24" s="54">
        <f t="shared" si="20"/>
        <v>1796.9</v>
      </c>
    </row>
    <row r="25" spans="1:27" ht="15.75" customHeight="1" x14ac:dyDescent="0.15">
      <c r="U25" s="58"/>
    </row>
    <row r="26" spans="1:27" ht="15.75" customHeight="1" x14ac:dyDescent="0.15">
      <c r="T26" s="59"/>
    </row>
    <row r="27" spans="1:27" ht="15.75" customHeight="1" x14ac:dyDescent="0.15">
      <c r="T27" s="60"/>
    </row>
    <row r="28" spans="1:27" ht="15.75" customHeight="1" x14ac:dyDescent="0.15"/>
    <row r="29" spans="1:27" ht="15.75" customHeight="1" x14ac:dyDescent="0.15"/>
    <row r="30" spans="1:27" ht="15.75" customHeight="1" x14ac:dyDescent="0.15"/>
    <row r="31" spans="1:27" ht="15.75" customHeight="1" x14ac:dyDescent="0.15"/>
    <row r="32" spans="1:27" ht="15.75" customHeight="1" x14ac:dyDescent="0.15"/>
    <row r="33" s="15" customFormat="1" ht="15.75" customHeight="1" x14ac:dyDescent="0.15"/>
    <row r="34" s="15" customFormat="1" ht="15.75" customHeight="1" x14ac:dyDescent="0.15"/>
    <row r="35" s="15" customFormat="1" ht="15.75" customHeight="1" x14ac:dyDescent="0.15"/>
    <row r="36" s="15" customFormat="1" ht="15.75" customHeight="1" x14ac:dyDescent="0.15"/>
    <row r="37" s="15" customFormat="1" ht="15.75" customHeight="1" x14ac:dyDescent="0.15"/>
    <row r="38" s="15" customFormat="1" ht="15.75" customHeight="1" x14ac:dyDescent="0.15"/>
    <row r="39" s="15" customFormat="1" ht="15.75" customHeight="1" x14ac:dyDescent="0.15"/>
    <row r="40" s="15" customFormat="1" ht="15.75" customHeight="1" x14ac:dyDescent="0.15"/>
    <row r="41" s="15" customFormat="1" ht="15.75" customHeight="1" x14ac:dyDescent="0.15"/>
    <row r="42" s="15" customFormat="1" ht="15.75" customHeight="1" x14ac:dyDescent="0.15"/>
    <row r="43" s="15" customFormat="1" ht="15.75" customHeight="1" x14ac:dyDescent="0.15"/>
    <row r="44" s="15" customFormat="1" ht="15.75" customHeight="1" x14ac:dyDescent="0.15"/>
    <row r="45" s="15" customFormat="1" ht="15.75" customHeight="1" x14ac:dyDescent="0.15"/>
    <row r="46" s="15" customFormat="1" ht="15.75" customHeight="1" x14ac:dyDescent="0.15"/>
    <row r="47" s="15" customFormat="1" ht="15.75" customHeight="1" x14ac:dyDescent="0.15"/>
    <row r="48" s="15" customFormat="1" ht="15.75" customHeight="1" x14ac:dyDescent="0.15"/>
    <row r="49" s="15" customFormat="1" ht="15.75" customHeight="1" x14ac:dyDescent="0.15"/>
    <row r="50" s="15" customFormat="1" ht="15.75" customHeight="1" x14ac:dyDescent="0.15"/>
    <row r="51" s="15" customFormat="1" ht="15.75" customHeight="1" x14ac:dyDescent="0.15"/>
    <row r="52" s="15" customFormat="1" ht="15.75" customHeight="1" x14ac:dyDescent="0.15"/>
    <row r="53" s="15" customFormat="1" ht="15.75" customHeight="1" x14ac:dyDescent="0.15"/>
    <row r="54" s="15" customFormat="1" ht="15.75" customHeight="1" x14ac:dyDescent="0.15"/>
    <row r="55" s="15" customFormat="1" ht="15.75" customHeight="1" x14ac:dyDescent="0.15"/>
    <row r="56" s="15" customFormat="1" ht="15.75" customHeight="1" x14ac:dyDescent="0.15"/>
    <row r="57" s="15" customFormat="1" ht="15.75" customHeight="1" x14ac:dyDescent="0.15"/>
    <row r="58" s="15" customFormat="1" ht="15.75" customHeight="1" x14ac:dyDescent="0.15"/>
    <row r="59" s="15" customFormat="1" ht="15.75" customHeight="1" x14ac:dyDescent="0.15"/>
    <row r="60" s="15" customFormat="1" ht="15.75" customHeight="1" x14ac:dyDescent="0.15"/>
    <row r="61" s="15" customFormat="1" ht="15.75" customHeight="1" x14ac:dyDescent="0.15"/>
    <row r="62" s="15" customFormat="1" ht="15.75" customHeight="1" x14ac:dyDescent="0.15"/>
    <row r="63" s="15" customFormat="1" ht="15.75" customHeight="1" x14ac:dyDescent="0.15"/>
    <row r="64" s="15" customFormat="1" ht="15.75" customHeight="1" x14ac:dyDescent="0.15"/>
    <row r="65" s="15" customFormat="1" ht="15.75" customHeight="1" x14ac:dyDescent="0.15"/>
    <row r="66" s="15" customFormat="1" ht="15.75" customHeight="1" x14ac:dyDescent="0.15"/>
    <row r="67" s="15" customFormat="1" ht="15.75" customHeight="1" x14ac:dyDescent="0.15"/>
    <row r="68" s="15" customFormat="1" ht="15.75" customHeight="1" x14ac:dyDescent="0.15"/>
    <row r="69" s="15" customFormat="1" ht="15.75" customHeight="1" x14ac:dyDescent="0.15"/>
    <row r="70" s="15" customFormat="1" ht="15.75" customHeight="1" x14ac:dyDescent="0.15"/>
    <row r="71" s="15" customFormat="1" ht="15.75" customHeight="1" x14ac:dyDescent="0.15"/>
    <row r="72" s="15" customFormat="1" ht="15.75" customHeight="1" x14ac:dyDescent="0.15"/>
    <row r="73" s="15" customFormat="1" ht="15.75" customHeight="1" x14ac:dyDescent="0.15"/>
    <row r="74" s="15" customFormat="1" ht="15.75" customHeight="1" x14ac:dyDescent="0.15"/>
    <row r="75" s="15" customFormat="1" ht="15.75" customHeight="1" x14ac:dyDescent="0.15"/>
    <row r="76" s="15" customFormat="1" ht="15.75" customHeight="1" x14ac:dyDescent="0.15"/>
    <row r="77" s="15" customFormat="1" ht="15.75" customHeight="1" x14ac:dyDescent="0.15"/>
    <row r="78" s="15" customFormat="1" ht="15.75" customHeight="1" x14ac:dyDescent="0.15"/>
    <row r="79" s="15" customFormat="1" ht="15.75" customHeight="1" x14ac:dyDescent="0.15"/>
    <row r="80" s="15" customFormat="1" ht="15.75" customHeight="1" x14ac:dyDescent="0.15"/>
    <row r="81" s="15" customFormat="1" ht="15.75" customHeight="1" x14ac:dyDescent="0.15"/>
    <row r="82" s="15" customFormat="1" ht="15.75" customHeight="1" x14ac:dyDescent="0.15"/>
    <row r="83" s="15" customFormat="1" ht="15.75" customHeight="1" x14ac:dyDescent="0.15"/>
    <row r="84" s="15" customFormat="1" ht="15.75" customHeight="1" x14ac:dyDescent="0.15"/>
    <row r="85" s="15" customFormat="1" ht="15.75" customHeight="1" x14ac:dyDescent="0.15"/>
    <row r="86" s="15" customFormat="1" ht="15.75" customHeight="1" x14ac:dyDescent="0.15"/>
    <row r="87" s="15" customFormat="1" ht="15.75" customHeight="1" x14ac:dyDescent="0.15"/>
    <row r="88" s="15" customFormat="1" ht="15.75" customHeight="1" x14ac:dyDescent="0.15"/>
    <row r="89" s="15" customFormat="1" ht="15.75" customHeight="1" x14ac:dyDescent="0.15"/>
    <row r="90" s="15" customFormat="1" ht="15.75" customHeight="1" x14ac:dyDescent="0.15"/>
    <row r="91" s="15" customFormat="1" ht="15.75" customHeight="1" x14ac:dyDescent="0.15"/>
    <row r="92" s="15" customFormat="1" ht="15.75" customHeight="1" x14ac:dyDescent="0.15"/>
    <row r="93" s="15" customFormat="1" ht="15.75" customHeight="1" x14ac:dyDescent="0.15"/>
    <row r="94" s="15" customFormat="1" ht="15.75" customHeight="1" x14ac:dyDescent="0.15"/>
    <row r="95" s="15" customFormat="1" ht="15.75" customHeight="1" x14ac:dyDescent="0.15"/>
    <row r="96" s="15" customFormat="1" ht="15.75" customHeight="1" x14ac:dyDescent="0.15"/>
    <row r="97" s="15" customFormat="1" ht="15.75" customHeight="1" x14ac:dyDescent="0.15"/>
    <row r="98" s="15" customFormat="1" ht="15.75" customHeight="1" x14ac:dyDescent="0.15"/>
    <row r="99" s="15" customFormat="1" ht="15.75" customHeight="1" x14ac:dyDescent="0.15"/>
    <row r="100" s="15" customFormat="1" ht="15.75" customHeight="1" x14ac:dyDescent="0.15"/>
    <row r="101" s="15" customFormat="1" ht="15.75" customHeight="1" x14ac:dyDescent="0.15"/>
    <row r="102" s="15" customFormat="1" ht="15.75" customHeight="1" x14ac:dyDescent="0.15"/>
    <row r="103" s="15" customFormat="1" ht="15.75" customHeight="1" x14ac:dyDescent="0.15"/>
    <row r="104" s="15" customFormat="1" ht="15.75" customHeight="1" x14ac:dyDescent="0.15"/>
    <row r="105" s="15" customFormat="1" ht="15.75" customHeight="1" x14ac:dyDescent="0.15"/>
    <row r="106" s="15" customFormat="1" ht="15.75" customHeight="1" x14ac:dyDescent="0.15"/>
    <row r="107" s="15" customFormat="1" ht="15.75" customHeight="1" x14ac:dyDescent="0.15"/>
    <row r="108" s="15" customFormat="1" ht="15.75" customHeight="1" x14ac:dyDescent="0.15"/>
    <row r="109" s="15" customFormat="1" ht="15.75" customHeight="1" x14ac:dyDescent="0.15"/>
    <row r="110" s="15" customFormat="1" ht="15.75" customHeight="1" x14ac:dyDescent="0.15"/>
    <row r="111" s="15" customFormat="1" ht="15.75" customHeight="1" x14ac:dyDescent="0.15"/>
    <row r="112" s="15" customFormat="1" ht="15.75" customHeight="1" x14ac:dyDescent="0.15"/>
    <row r="113" s="15" customFormat="1" ht="15.75" customHeight="1" x14ac:dyDescent="0.15"/>
    <row r="114" s="15" customFormat="1" ht="15.75" customHeight="1" x14ac:dyDescent="0.15"/>
    <row r="115" s="15" customFormat="1" ht="15.75" customHeight="1" x14ac:dyDescent="0.15"/>
    <row r="116" s="15" customFormat="1" ht="15.75" customHeight="1" x14ac:dyDescent="0.15"/>
    <row r="117" s="15" customFormat="1" ht="15.75" customHeight="1" x14ac:dyDescent="0.15"/>
    <row r="118" s="15" customFormat="1" ht="15.75" customHeight="1" x14ac:dyDescent="0.15"/>
    <row r="119" s="15" customFormat="1" ht="15.75" customHeight="1" x14ac:dyDescent="0.15"/>
    <row r="120" s="15" customFormat="1" ht="15.75" customHeight="1" x14ac:dyDescent="0.15"/>
    <row r="121" s="15" customFormat="1" ht="15.75" customHeight="1" x14ac:dyDescent="0.15"/>
    <row r="122" s="15" customFormat="1" ht="15.75" customHeight="1" x14ac:dyDescent="0.15"/>
    <row r="123" s="15" customFormat="1" ht="15.75" customHeight="1" x14ac:dyDescent="0.15"/>
    <row r="124" s="15" customFormat="1" ht="15.75" customHeight="1" x14ac:dyDescent="0.15"/>
    <row r="125" s="15" customFormat="1" ht="15.75" customHeight="1" x14ac:dyDescent="0.15"/>
    <row r="126" s="15" customFormat="1" ht="15.75" customHeight="1" x14ac:dyDescent="0.15"/>
    <row r="127" s="15" customFormat="1" ht="15.75" customHeight="1" x14ac:dyDescent="0.15"/>
    <row r="128" s="15" customFormat="1" ht="15.75" customHeight="1" x14ac:dyDescent="0.15"/>
    <row r="129" s="15" customFormat="1" ht="15.75" customHeight="1" x14ac:dyDescent="0.15"/>
    <row r="130" s="15" customFormat="1" ht="15.75" customHeight="1" x14ac:dyDescent="0.15"/>
    <row r="131" s="15" customFormat="1" ht="15.75" customHeight="1" x14ac:dyDescent="0.15"/>
    <row r="132" s="15" customFormat="1" ht="15.75" customHeight="1" x14ac:dyDescent="0.15"/>
    <row r="133" s="15" customFormat="1" ht="15.75" customHeight="1" x14ac:dyDescent="0.15"/>
    <row r="134" s="15" customFormat="1" ht="15.75" customHeight="1" x14ac:dyDescent="0.15"/>
    <row r="135" s="15" customFormat="1" ht="15.75" customHeight="1" x14ac:dyDescent="0.15"/>
    <row r="136" s="15" customFormat="1" ht="15.75" customHeight="1" x14ac:dyDescent="0.15"/>
    <row r="137" s="15" customFormat="1" ht="15.75" customHeight="1" x14ac:dyDescent="0.15"/>
    <row r="138" s="15" customFormat="1" ht="15.75" customHeight="1" x14ac:dyDescent="0.15"/>
    <row r="139" s="15" customFormat="1" ht="15.75" customHeight="1" x14ac:dyDescent="0.15"/>
    <row r="140" s="15" customFormat="1" ht="15.75" customHeight="1" x14ac:dyDescent="0.15"/>
    <row r="141" s="15" customFormat="1" ht="15.75" customHeight="1" x14ac:dyDescent="0.15"/>
    <row r="142" s="15" customFormat="1" ht="15.75" customHeight="1" x14ac:dyDescent="0.15"/>
    <row r="143" s="15" customFormat="1" ht="15.75" customHeight="1" x14ac:dyDescent="0.15"/>
    <row r="144" s="15" customFormat="1" ht="15.75" customHeight="1" x14ac:dyDescent="0.15"/>
    <row r="145" s="15" customFormat="1" ht="15.75" customHeight="1" x14ac:dyDescent="0.15"/>
    <row r="146" s="15" customFormat="1" ht="15.75" customHeight="1" x14ac:dyDescent="0.15"/>
    <row r="147" s="15" customFormat="1" ht="15.75" customHeight="1" x14ac:dyDescent="0.15"/>
    <row r="148" s="15" customFormat="1" ht="15.75" customHeight="1" x14ac:dyDescent="0.15"/>
    <row r="149" s="15" customFormat="1" ht="15.75" customHeight="1" x14ac:dyDescent="0.15"/>
    <row r="150" s="15" customFormat="1" ht="15.75" customHeight="1" x14ac:dyDescent="0.15"/>
    <row r="151" s="15" customFormat="1" ht="15.75" customHeight="1" x14ac:dyDescent="0.15"/>
    <row r="152" s="15" customFormat="1" ht="15.75" customHeight="1" x14ac:dyDescent="0.15"/>
    <row r="153" s="15" customFormat="1" ht="15.75" customHeight="1" x14ac:dyDescent="0.15"/>
    <row r="154" s="15" customFormat="1" ht="15.75" customHeight="1" x14ac:dyDescent="0.15"/>
    <row r="155" s="15" customFormat="1" ht="15.75" customHeight="1" x14ac:dyDescent="0.15"/>
    <row r="156" s="15" customFormat="1" ht="15.75" customHeight="1" x14ac:dyDescent="0.15"/>
    <row r="157" s="15" customFormat="1" ht="15.75" customHeight="1" x14ac:dyDescent="0.15"/>
    <row r="158" s="15" customFormat="1" ht="15.75" customHeight="1" x14ac:dyDescent="0.15"/>
    <row r="159" s="15" customFormat="1" ht="15.75" customHeight="1" x14ac:dyDescent="0.15"/>
    <row r="160" s="15" customFormat="1" ht="15.75" customHeight="1" x14ac:dyDescent="0.15"/>
    <row r="161" s="15" customFormat="1" ht="15.75" customHeight="1" x14ac:dyDescent="0.15"/>
    <row r="162" s="15" customFormat="1" ht="15.75" customHeight="1" x14ac:dyDescent="0.15"/>
    <row r="163" s="15" customFormat="1" ht="15.75" customHeight="1" x14ac:dyDescent="0.15"/>
    <row r="164" s="15" customFormat="1" ht="15.75" customHeight="1" x14ac:dyDescent="0.15"/>
    <row r="165" s="15" customFormat="1" ht="15.75" customHeight="1" x14ac:dyDescent="0.15"/>
    <row r="166" s="15" customFormat="1" ht="15.75" customHeight="1" x14ac:dyDescent="0.15"/>
    <row r="167" s="15" customFormat="1" ht="15.75" customHeight="1" x14ac:dyDescent="0.15"/>
    <row r="168" s="15" customFormat="1" ht="15.75" customHeight="1" x14ac:dyDescent="0.15"/>
    <row r="169" s="15" customFormat="1" ht="15.75" customHeight="1" x14ac:dyDescent="0.15"/>
    <row r="170" s="15" customFormat="1" ht="15.75" customHeight="1" x14ac:dyDescent="0.15"/>
    <row r="171" s="15" customFormat="1" ht="15.75" customHeight="1" x14ac:dyDescent="0.15"/>
    <row r="172" s="15" customFormat="1" ht="15.75" customHeight="1" x14ac:dyDescent="0.15"/>
    <row r="173" s="15" customFormat="1" ht="15.75" customHeight="1" x14ac:dyDescent="0.15"/>
    <row r="174" s="15" customFormat="1" ht="15.75" customHeight="1" x14ac:dyDescent="0.15"/>
    <row r="175" s="15" customFormat="1" ht="15.75" customHeight="1" x14ac:dyDescent="0.15"/>
    <row r="176" s="15" customFormat="1" ht="15.75" customHeight="1" x14ac:dyDescent="0.15"/>
    <row r="177" s="15" customFormat="1" ht="15.75" customHeight="1" x14ac:dyDescent="0.15"/>
    <row r="178" s="15" customFormat="1" ht="15.75" customHeight="1" x14ac:dyDescent="0.15"/>
    <row r="179" s="15" customFormat="1" ht="15.75" customHeight="1" x14ac:dyDescent="0.15"/>
    <row r="180" s="15" customFormat="1" ht="15.75" customHeight="1" x14ac:dyDescent="0.15"/>
    <row r="181" s="15" customFormat="1" ht="15.75" customHeight="1" x14ac:dyDescent="0.15"/>
    <row r="182" s="15" customFormat="1" ht="15.75" customHeight="1" x14ac:dyDescent="0.15"/>
    <row r="183" s="15" customFormat="1" ht="15.75" customHeight="1" x14ac:dyDescent="0.15"/>
    <row r="184" s="15" customFormat="1" ht="15.75" customHeight="1" x14ac:dyDescent="0.15"/>
    <row r="185" s="15" customFormat="1" ht="15.75" customHeight="1" x14ac:dyDescent="0.15"/>
    <row r="186" s="15" customFormat="1" ht="15.75" customHeight="1" x14ac:dyDescent="0.15"/>
    <row r="187" s="15" customFormat="1" ht="15.75" customHeight="1" x14ac:dyDescent="0.15"/>
    <row r="188" s="15" customFormat="1" ht="15.75" customHeight="1" x14ac:dyDescent="0.15"/>
    <row r="189" s="15" customFormat="1" ht="15.75" customHeight="1" x14ac:dyDescent="0.15"/>
    <row r="190" s="15" customFormat="1" ht="15.75" customHeight="1" x14ac:dyDescent="0.15"/>
    <row r="191" s="15" customFormat="1" ht="15.75" customHeight="1" x14ac:dyDescent="0.15"/>
    <row r="192" s="15" customFormat="1" ht="15.75" customHeight="1" x14ac:dyDescent="0.15"/>
    <row r="193" s="15" customFormat="1" ht="15.75" customHeight="1" x14ac:dyDescent="0.15"/>
    <row r="194" s="15" customFormat="1" ht="15.75" customHeight="1" x14ac:dyDescent="0.15"/>
    <row r="195" s="15" customFormat="1" ht="15.75" customHeight="1" x14ac:dyDescent="0.15"/>
    <row r="196" s="15" customFormat="1" ht="15.75" customHeight="1" x14ac:dyDescent="0.15"/>
    <row r="197" s="15" customFormat="1" ht="15.75" customHeight="1" x14ac:dyDescent="0.15"/>
    <row r="198" s="15" customFormat="1" ht="15.75" customHeight="1" x14ac:dyDescent="0.15"/>
    <row r="199" s="15" customFormat="1" ht="15.75" customHeight="1" x14ac:dyDescent="0.15"/>
    <row r="200" s="15" customFormat="1" ht="15.75" customHeight="1" x14ac:dyDescent="0.15"/>
    <row r="201" s="15" customFormat="1" ht="15.75" customHeight="1" x14ac:dyDescent="0.15"/>
    <row r="202" s="15" customFormat="1" ht="15.75" customHeight="1" x14ac:dyDescent="0.15"/>
    <row r="203" s="15" customFormat="1" ht="15.75" customHeight="1" x14ac:dyDescent="0.15"/>
    <row r="204" s="15" customFormat="1" ht="15.75" customHeight="1" x14ac:dyDescent="0.15"/>
    <row r="205" s="15" customFormat="1" ht="15.75" customHeight="1" x14ac:dyDescent="0.15"/>
    <row r="206" s="15" customFormat="1" ht="15.75" customHeight="1" x14ac:dyDescent="0.15"/>
    <row r="207" s="15" customFormat="1" ht="15.75" customHeight="1" x14ac:dyDescent="0.15"/>
    <row r="208" s="15" customFormat="1" ht="15.75" customHeight="1" x14ac:dyDescent="0.15"/>
    <row r="209" s="15" customFormat="1" ht="15.75" customHeight="1" x14ac:dyDescent="0.15"/>
    <row r="210" s="15" customFormat="1" ht="15.75" customHeight="1" x14ac:dyDescent="0.15"/>
    <row r="211" s="15" customFormat="1" ht="15.75" customHeight="1" x14ac:dyDescent="0.15"/>
    <row r="212" s="15" customFormat="1" ht="15.75" customHeight="1" x14ac:dyDescent="0.15"/>
    <row r="213" s="15" customFormat="1" ht="15.75" customHeight="1" x14ac:dyDescent="0.15"/>
    <row r="214" s="15" customFormat="1" ht="15.75" customHeight="1" x14ac:dyDescent="0.15"/>
    <row r="215" s="15" customFormat="1" ht="15.75" customHeight="1" x14ac:dyDescent="0.15"/>
    <row r="216" s="15" customFormat="1" ht="15.75" customHeight="1" x14ac:dyDescent="0.15"/>
    <row r="217" s="15" customFormat="1" ht="15.75" customHeight="1" x14ac:dyDescent="0.15"/>
    <row r="218" s="15" customFormat="1" ht="15.75" customHeight="1" x14ac:dyDescent="0.15"/>
    <row r="219" s="15" customFormat="1" ht="15.75" customHeight="1" x14ac:dyDescent="0.15"/>
    <row r="220" s="15" customFormat="1" ht="15.75" customHeight="1" x14ac:dyDescent="0.15"/>
    <row r="221" s="15" customFormat="1" ht="15.75" customHeight="1" x14ac:dyDescent="0.15"/>
    <row r="222" s="15" customFormat="1" ht="15.75" customHeight="1" x14ac:dyDescent="0.15"/>
    <row r="223" s="15" customFormat="1" ht="15.75" customHeight="1" x14ac:dyDescent="0.15"/>
    <row r="224" s="15" customFormat="1" ht="15.75" customHeight="1" x14ac:dyDescent="0.15"/>
    <row r="225" s="15" customFormat="1" ht="15.75" customHeight="1" x14ac:dyDescent="0.15"/>
    <row r="226" s="15" customFormat="1" ht="15.75" customHeight="1" x14ac:dyDescent="0.15"/>
    <row r="227" s="15" customFormat="1" ht="15.75" customHeight="1" x14ac:dyDescent="0.15"/>
    <row r="228" s="15" customFormat="1" ht="15.75" customHeight="1" x14ac:dyDescent="0.15"/>
    <row r="229" s="15" customFormat="1" ht="15.75" customHeight="1" x14ac:dyDescent="0.15"/>
    <row r="230" s="15" customFormat="1" ht="15.75" customHeight="1" x14ac:dyDescent="0.15"/>
    <row r="231" s="15" customFormat="1" ht="15.75" customHeight="1" x14ac:dyDescent="0.15"/>
    <row r="232" s="15" customFormat="1" ht="15.75" customHeight="1" x14ac:dyDescent="0.15"/>
    <row r="233" s="15" customFormat="1" ht="15.75" customHeight="1" x14ac:dyDescent="0.15"/>
    <row r="234" s="15" customFormat="1" ht="15.75" customHeight="1" x14ac:dyDescent="0.15"/>
    <row r="235" s="15" customFormat="1" ht="15.75" customHeight="1" x14ac:dyDescent="0.15"/>
    <row r="236" s="15" customFormat="1" ht="15.75" customHeight="1" x14ac:dyDescent="0.15"/>
    <row r="237" s="15" customFormat="1" ht="15.75" customHeight="1" x14ac:dyDescent="0.15"/>
    <row r="238" s="15" customFormat="1" ht="15.75" customHeight="1" x14ac:dyDescent="0.15"/>
    <row r="239" s="15" customFormat="1" ht="15.75" customHeight="1" x14ac:dyDescent="0.15"/>
    <row r="240" s="15" customFormat="1" ht="15.75" customHeight="1" x14ac:dyDescent="0.15"/>
    <row r="241" s="15" customFormat="1" ht="15.75" customHeight="1" x14ac:dyDescent="0.15"/>
    <row r="242" s="15" customFormat="1" ht="15.75" customHeight="1" x14ac:dyDescent="0.15"/>
    <row r="243" s="15" customFormat="1" ht="15.75" customHeight="1" x14ac:dyDescent="0.15"/>
    <row r="244" s="15" customFormat="1" ht="15.75" customHeight="1" x14ac:dyDescent="0.15"/>
    <row r="245" s="15" customFormat="1" ht="15.75" customHeight="1" x14ac:dyDescent="0.15"/>
    <row r="246" s="15" customFormat="1" ht="15.75" customHeight="1" x14ac:dyDescent="0.15"/>
    <row r="247" s="15" customFormat="1" ht="15.75" customHeight="1" x14ac:dyDescent="0.15"/>
    <row r="248" s="15" customFormat="1" ht="15.75" customHeight="1" x14ac:dyDescent="0.15"/>
    <row r="249" s="15" customFormat="1" ht="15.75" customHeight="1" x14ac:dyDescent="0.15"/>
    <row r="250" s="15" customFormat="1" ht="15.75" customHeight="1" x14ac:dyDescent="0.15"/>
    <row r="251" s="15" customFormat="1" ht="15.75" customHeight="1" x14ac:dyDescent="0.15"/>
    <row r="252" s="15" customFormat="1" ht="15.75" customHeight="1" x14ac:dyDescent="0.15"/>
    <row r="253" s="15" customFormat="1" ht="15.75" customHeight="1" x14ac:dyDescent="0.15"/>
    <row r="254" s="15" customFormat="1" ht="15.75" customHeight="1" x14ac:dyDescent="0.15"/>
    <row r="255" s="15" customFormat="1" ht="15.75" customHeight="1" x14ac:dyDescent="0.15"/>
    <row r="256" s="15" customFormat="1" ht="15.75" customHeight="1" x14ac:dyDescent="0.15"/>
    <row r="257" s="15" customFormat="1" ht="15.75" customHeight="1" x14ac:dyDescent="0.15"/>
    <row r="258" s="15" customFormat="1" ht="15.75" customHeight="1" x14ac:dyDescent="0.15"/>
    <row r="259" s="15" customFormat="1" ht="15.75" customHeight="1" x14ac:dyDescent="0.15"/>
    <row r="260" s="15" customFormat="1" ht="15.75" customHeight="1" x14ac:dyDescent="0.15"/>
    <row r="261" s="15" customFormat="1" ht="15.75" customHeight="1" x14ac:dyDescent="0.15"/>
    <row r="262" s="15" customFormat="1" ht="15.75" customHeight="1" x14ac:dyDescent="0.15"/>
    <row r="263" s="15" customFormat="1" ht="15.75" customHeight="1" x14ac:dyDescent="0.15"/>
    <row r="264" s="15" customFormat="1" ht="15.75" customHeight="1" x14ac:dyDescent="0.15"/>
    <row r="265" s="15" customFormat="1" ht="15.75" customHeight="1" x14ac:dyDescent="0.15"/>
    <row r="266" s="15" customFormat="1" ht="15.75" customHeight="1" x14ac:dyDescent="0.15"/>
    <row r="267" s="15" customFormat="1" ht="15.75" customHeight="1" x14ac:dyDescent="0.15"/>
    <row r="268" s="15" customFormat="1" ht="15.75" customHeight="1" x14ac:dyDescent="0.15"/>
    <row r="269" s="15" customFormat="1" ht="15.75" customHeight="1" x14ac:dyDescent="0.15"/>
    <row r="270" s="15" customFormat="1" ht="15.75" customHeight="1" x14ac:dyDescent="0.15"/>
    <row r="271" s="15" customFormat="1" ht="15.75" customHeight="1" x14ac:dyDescent="0.15"/>
    <row r="272" s="15" customFormat="1" ht="15.75" customHeight="1" x14ac:dyDescent="0.15"/>
    <row r="273" s="15" customFormat="1" ht="15.75" customHeight="1" x14ac:dyDescent="0.15"/>
    <row r="274" s="15" customFormat="1" ht="15.75" customHeight="1" x14ac:dyDescent="0.15"/>
    <row r="275" s="15" customFormat="1" ht="15.75" customHeight="1" x14ac:dyDescent="0.15"/>
    <row r="276" s="15" customFormat="1" ht="15.75" customHeight="1" x14ac:dyDescent="0.15"/>
    <row r="277" s="15" customFormat="1" ht="15.75" customHeight="1" x14ac:dyDescent="0.15"/>
    <row r="278" s="15" customFormat="1" ht="15.75" customHeight="1" x14ac:dyDescent="0.15"/>
    <row r="279" s="15" customFormat="1" ht="15.75" customHeight="1" x14ac:dyDescent="0.15"/>
    <row r="280" s="15" customFormat="1" ht="15.75" customHeight="1" x14ac:dyDescent="0.15"/>
    <row r="281" s="15" customFormat="1" ht="15.75" customHeight="1" x14ac:dyDescent="0.15"/>
    <row r="282" s="15" customFormat="1" ht="15.75" customHeight="1" x14ac:dyDescent="0.15"/>
    <row r="283" s="15" customFormat="1" ht="15.75" customHeight="1" x14ac:dyDescent="0.15"/>
    <row r="284" s="15" customFormat="1" ht="15.75" customHeight="1" x14ac:dyDescent="0.15"/>
    <row r="285" s="15" customFormat="1" ht="15.75" customHeight="1" x14ac:dyDescent="0.15"/>
    <row r="286" s="15" customFormat="1" ht="15.75" customHeight="1" x14ac:dyDescent="0.15"/>
    <row r="287" s="15" customFormat="1" ht="15.75" customHeight="1" x14ac:dyDescent="0.15"/>
    <row r="288" s="15" customFormat="1" ht="15.75" customHeight="1" x14ac:dyDescent="0.15"/>
    <row r="289" s="15" customFormat="1" ht="15.75" customHeight="1" x14ac:dyDescent="0.15"/>
    <row r="290" s="15" customFormat="1" ht="15.75" customHeight="1" x14ac:dyDescent="0.15"/>
    <row r="291" s="15" customFormat="1" ht="15.75" customHeight="1" x14ac:dyDescent="0.15"/>
    <row r="292" s="15" customFormat="1" ht="15.75" customHeight="1" x14ac:dyDescent="0.15"/>
    <row r="293" s="15" customFormat="1" ht="15.75" customHeight="1" x14ac:dyDescent="0.15"/>
    <row r="294" s="15" customFormat="1" ht="15.75" customHeight="1" x14ac:dyDescent="0.15"/>
    <row r="295" s="15" customFormat="1" ht="15.75" customHeight="1" x14ac:dyDescent="0.15"/>
    <row r="296" s="15" customFormat="1" ht="15.75" customHeight="1" x14ac:dyDescent="0.15"/>
    <row r="297" s="15" customFormat="1" ht="15.75" customHeight="1" x14ac:dyDescent="0.15"/>
    <row r="298" s="15" customFormat="1" ht="15.75" customHeight="1" x14ac:dyDescent="0.15"/>
    <row r="299" s="15" customFormat="1" ht="15.75" customHeight="1" x14ac:dyDescent="0.15"/>
    <row r="300" s="15" customFormat="1" ht="15.75" customHeight="1" x14ac:dyDescent="0.15"/>
    <row r="301" s="15" customFormat="1" ht="15.75" customHeight="1" x14ac:dyDescent="0.15"/>
    <row r="302" s="15" customFormat="1" ht="15.75" customHeight="1" x14ac:dyDescent="0.15"/>
    <row r="303" s="15" customFormat="1" ht="15.75" customHeight="1" x14ac:dyDescent="0.15"/>
    <row r="304" s="15" customFormat="1" ht="15.75" customHeight="1" x14ac:dyDescent="0.15"/>
    <row r="305" s="15" customFormat="1" ht="15.75" customHeight="1" x14ac:dyDescent="0.15"/>
    <row r="306" s="15" customFormat="1" ht="15.75" customHeight="1" x14ac:dyDescent="0.15"/>
    <row r="307" s="15" customFormat="1" ht="15.75" customHeight="1" x14ac:dyDescent="0.15"/>
    <row r="308" s="15" customFormat="1" ht="15.75" customHeight="1" x14ac:dyDescent="0.15"/>
    <row r="309" s="15" customFormat="1" ht="15.75" customHeight="1" x14ac:dyDescent="0.15"/>
    <row r="310" s="15" customFormat="1" ht="15.75" customHeight="1" x14ac:dyDescent="0.15"/>
    <row r="311" s="15" customFormat="1" ht="15.75" customHeight="1" x14ac:dyDescent="0.15"/>
    <row r="312" s="15" customFormat="1" ht="15.75" customHeight="1" x14ac:dyDescent="0.15"/>
    <row r="313" s="15" customFormat="1" ht="15.75" customHeight="1" x14ac:dyDescent="0.15"/>
    <row r="314" s="15" customFormat="1" ht="15.75" customHeight="1" x14ac:dyDescent="0.15"/>
    <row r="315" s="15" customFormat="1" ht="15.75" customHeight="1" x14ac:dyDescent="0.15"/>
    <row r="316" s="15" customFormat="1" ht="15.75" customHeight="1" x14ac:dyDescent="0.15"/>
    <row r="317" s="15" customFormat="1" ht="15.75" customHeight="1" x14ac:dyDescent="0.15"/>
    <row r="318" s="15" customFormat="1" ht="15.75" customHeight="1" x14ac:dyDescent="0.15"/>
    <row r="319" s="15" customFormat="1" ht="15.75" customHeight="1" x14ac:dyDescent="0.15"/>
    <row r="320" s="15" customFormat="1" ht="15.75" customHeight="1" x14ac:dyDescent="0.15"/>
    <row r="321" s="15" customFormat="1" ht="15.75" customHeight="1" x14ac:dyDescent="0.15"/>
    <row r="322" s="15" customFormat="1" ht="15.75" customHeight="1" x14ac:dyDescent="0.15"/>
    <row r="323" s="15" customFormat="1" ht="15.75" customHeight="1" x14ac:dyDescent="0.15"/>
    <row r="324" s="15" customFormat="1" ht="15.75" customHeight="1" x14ac:dyDescent="0.15"/>
    <row r="325" s="15" customFormat="1" ht="15.75" customHeight="1" x14ac:dyDescent="0.15"/>
    <row r="326" s="15" customFormat="1" ht="15.75" customHeight="1" x14ac:dyDescent="0.15"/>
    <row r="327" s="15" customFormat="1" ht="15.75" customHeight="1" x14ac:dyDescent="0.15"/>
    <row r="328" s="15" customFormat="1" ht="15.75" customHeight="1" x14ac:dyDescent="0.15"/>
    <row r="329" s="15" customFormat="1" ht="15.75" customHeight="1" x14ac:dyDescent="0.15"/>
    <row r="330" s="15" customFormat="1" ht="15.75" customHeight="1" x14ac:dyDescent="0.15"/>
    <row r="331" s="15" customFormat="1" ht="15.75" customHeight="1" x14ac:dyDescent="0.15"/>
    <row r="332" s="15" customFormat="1" ht="15.75" customHeight="1" x14ac:dyDescent="0.15"/>
    <row r="333" s="15" customFormat="1" ht="15.75" customHeight="1" x14ac:dyDescent="0.15"/>
    <row r="334" s="15" customFormat="1" ht="15.75" customHeight="1" x14ac:dyDescent="0.15"/>
    <row r="335" s="15" customFormat="1" ht="15.75" customHeight="1" x14ac:dyDescent="0.15"/>
    <row r="336" s="15" customFormat="1" ht="15.75" customHeight="1" x14ac:dyDescent="0.15"/>
    <row r="337" s="15" customFormat="1" ht="15.75" customHeight="1" x14ac:dyDescent="0.15"/>
    <row r="338" s="15" customFormat="1" ht="15.75" customHeight="1" x14ac:dyDescent="0.15"/>
    <row r="339" s="15" customFormat="1" ht="15.75" customHeight="1" x14ac:dyDescent="0.15"/>
    <row r="340" s="15" customFormat="1" ht="15.75" customHeight="1" x14ac:dyDescent="0.15"/>
    <row r="341" s="15" customFormat="1" ht="15.75" customHeight="1" x14ac:dyDescent="0.15"/>
    <row r="342" s="15" customFormat="1" ht="15.75" customHeight="1" x14ac:dyDescent="0.15"/>
    <row r="343" s="15" customFormat="1" ht="15.75" customHeight="1" x14ac:dyDescent="0.15"/>
    <row r="344" s="15" customFormat="1" ht="15.75" customHeight="1" x14ac:dyDescent="0.15"/>
    <row r="345" s="15" customFormat="1" ht="15.75" customHeight="1" x14ac:dyDescent="0.15"/>
    <row r="346" s="15" customFormat="1" ht="15.75" customHeight="1" x14ac:dyDescent="0.15"/>
    <row r="347" s="15" customFormat="1" ht="15.75" customHeight="1" x14ac:dyDescent="0.15"/>
    <row r="348" s="15" customFormat="1" ht="15.75" customHeight="1" x14ac:dyDescent="0.15"/>
    <row r="349" s="15" customFormat="1" ht="15.75" customHeight="1" x14ac:dyDescent="0.15"/>
    <row r="350" s="15" customFormat="1" ht="15.75" customHeight="1" x14ac:dyDescent="0.15"/>
    <row r="351" s="15" customFormat="1" ht="15.75" customHeight="1" x14ac:dyDescent="0.15"/>
    <row r="352" s="15" customFormat="1" ht="15.75" customHeight="1" x14ac:dyDescent="0.15"/>
    <row r="353" s="15" customFormat="1" ht="15.75" customHeight="1" x14ac:dyDescent="0.15"/>
    <row r="354" s="15" customFormat="1" ht="15.75" customHeight="1" x14ac:dyDescent="0.15"/>
    <row r="355" s="15" customFormat="1" ht="15.75" customHeight="1" x14ac:dyDescent="0.15"/>
    <row r="356" s="15" customFormat="1" ht="15.75" customHeight="1" x14ac:dyDescent="0.15"/>
    <row r="357" s="15" customFormat="1" ht="15.75" customHeight="1" x14ac:dyDescent="0.15"/>
    <row r="358" s="15" customFormat="1" ht="15.75" customHeight="1" x14ac:dyDescent="0.15"/>
    <row r="359" s="15" customFormat="1" ht="15.75" customHeight="1" x14ac:dyDescent="0.15"/>
    <row r="360" s="15" customFormat="1" ht="15.75" customHeight="1" x14ac:dyDescent="0.15"/>
    <row r="361" s="15" customFormat="1" ht="15.75" customHeight="1" x14ac:dyDescent="0.15"/>
    <row r="362" s="15" customFormat="1" ht="15.75" customHeight="1" x14ac:dyDescent="0.15"/>
    <row r="363" s="15" customFormat="1" ht="15.75" customHeight="1" x14ac:dyDescent="0.15"/>
    <row r="364" s="15" customFormat="1" ht="15.75" customHeight="1" x14ac:dyDescent="0.15"/>
    <row r="365" s="15" customFormat="1" ht="15.75" customHeight="1" x14ac:dyDescent="0.15"/>
    <row r="366" s="15" customFormat="1" ht="15.75" customHeight="1" x14ac:dyDescent="0.15"/>
    <row r="367" s="15" customFormat="1" ht="15.75" customHeight="1" x14ac:dyDescent="0.15"/>
    <row r="368" s="15" customFormat="1" ht="15.75" customHeight="1" x14ac:dyDescent="0.15"/>
    <row r="369" s="15" customFormat="1" ht="15.75" customHeight="1" x14ac:dyDescent="0.15"/>
    <row r="370" s="15" customFormat="1" ht="15.75" customHeight="1" x14ac:dyDescent="0.15"/>
    <row r="371" s="15" customFormat="1" ht="15.75" customHeight="1" x14ac:dyDescent="0.15"/>
    <row r="372" s="15" customFormat="1" ht="15.75" customHeight="1" x14ac:dyDescent="0.15"/>
    <row r="373" s="15" customFormat="1" ht="15.75" customHeight="1" x14ac:dyDescent="0.15"/>
    <row r="374" s="15" customFormat="1" ht="15.75" customHeight="1" x14ac:dyDescent="0.15"/>
    <row r="375" s="15" customFormat="1" ht="15.75" customHeight="1" x14ac:dyDescent="0.15"/>
    <row r="376" s="15" customFormat="1" ht="15.75" customHeight="1" x14ac:dyDescent="0.15"/>
    <row r="377" s="15" customFormat="1" ht="15.75" customHeight="1" x14ac:dyDescent="0.15"/>
    <row r="378" s="15" customFormat="1" ht="15.75" customHeight="1" x14ac:dyDescent="0.15"/>
    <row r="379" s="15" customFormat="1" ht="15.75" customHeight="1" x14ac:dyDescent="0.15"/>
    <row r="380" s="15" customFormat="1" ht="15.75" customHeight="1" x14ac:dyDescent="0.15"/>
    <row r="381" s="15" customFormat="1" ht="15.75" customHeight="1" x14ac:dyDescent="0.15"/>
    <row r="382" s="15" customFormat="1" ht="15.75" customHeight="1" x14ac:dyDescent="0.15"/>
    <row r="383" s="15" customFormat="1" ht="15.75" customHeight="1" x14ac:dyDescent="0.15"/>
    <row r="384" s="15" customFormat="1" ht="15.75" customHeight="1" x14ac:dyDescent="0.15"/>
    <row r="385" s="15" customFormat="1" ht="15.75" customHeight="1" x14ac:dyDescent="0.15"/>
    <row r="386" s="15" customFormat="1" ht="15.75" customHeight="1" x14ac:dyDescent="0.15"/>
    <row r="387" s="15" customFormat="1" ht="15.75" customHeight="1" x14ac:dyDescent="0.15"/>
    <row r="388" s="15" customFormat="1" ht="15.75" customHeight="1" x14ac:dyDescent="0.15"/>
    <row r="389" s="15" customFormat="1" ht="15.75" customHeight="1" x14ac:dyDescent="0.15"/>
    <row r="390" s="15" customFormat="1" ht="15.75" customHeight="1" x14ac:dyDescent="0.15"/>
    <row r="391" s="15" customFormat="1" ht="15.75" customHeight="1" x14ac:dyDescent="0.15"/>
    <row r="392" s="15" customFormat="1" ht="15.75" customHeight="1" x14ac:dyDescent="0.15"/>
    <row r="393" s="15" customFormat="1" ht="15.75" customHeight="1" x14ac:dyDescent="0.15"/>
    <row r="394" s="15" customFormat="1" ht="15.75" customHeight="1" x14ac:dyDescent="0.15"/>
    <row r="395" s="15" customFormat="1" ht="15.75" customHeight="1" x14ac:dyDescent="0.15"/>
    <row r="396" s="15" customFormat="1" ht="15.75" customHeight="1" x14ac:dyDescent="0.15"/>
    <row r="397" s="15" customFormat="1" ht="15.75" customHeight="1" x14ac:dyDescent="0.15"/>
    <row r="398" s="15" customFormat="1" ht="15.75" customHeight="1" x14ac:dyDescent="0.15"/>
    <row r="399" s="15" customFormat="1" ht="15.75" customHeight="1" x14ac:dyDescent="0.15"/>
    <row r="400" s="15" customFormat="1" ht="15.75" customHeight="1" x14ac:dyDescent="0.15"/>
    <row r="401" s="15" customFormat="1" ht="15.75" customHeight="1" x14ac:dyDescent="0.15"/>
    <row r="402" s="15" customFormat="1" ht="15.75" customHeight="1" x14ac:dyDescent="0.15"/>
    <row r="403" s="15" customFormat="1" ht="15.75" customHeight="1" x14ac:dyDescent="0.15"/>
    <row r="404" s="15" customFormat="1" ht="15.75" customHeight="1" x14ac:dyDescent="0.15"/>
    <row r="405" s="15" customFormat="1" ht="15.75" customHeight="1" x14ac:dyDescent="0.15"/>
    <row r="406" s="15" customFormat="1" ht="15.75" customHeight="1" x14ac:dyDescent="0.15"/>
    <row r="407" s="15" customFormat="1" ht="15.75" customHeight="1" x14ac:dyDescent="0.15"/>
    <row r="408" s="15" customFormat="1" ht="15.75" customHeight="1" x14ac:dyDescent="0.15"/>
    <row r="409" s="15" customFormat="1" ht="15.75" customHeight="1" x14ac:dyDescent="0.15"/>
    <row r="410" s="15" customFormat="1" ht="15.75" customHeight="1" x14ac:dyDescent="0.15"/>
    <row r="411" s="15" customFormat="1" ht="15.75" customHeight="1" x14ac:dyDescent="0.15"/>
    <row r="412" s="15" customFormat="1" ht="15.75" customHeight="1" x14ac:dyDescent="0.15"/>
    <row r="413" s="15" customFormat="1" ht="15.75" customHeight="1" x14ac:dyDescent="0.15"/>
    <row r="414" s="15" customFormat="1" ht="15.75" customHeight="1" x14ac:dyDescent="0.15"/>
    <row r="415" s="15" customFormat="1" ht="15.75" customHeight="1" x14ac:dyDescent="0.15"/>
    <row r="416" s="15" customFormat="1" ht="15.75" customHeight="1" x14ac:dyDescent="0.15"/>
    <row r="417" s="15" customFormat="1" ht="15.75" customHeight="1" x14ac:dyDescent="0.15"/>
    <row r="418" s="15" customFormat="1" ht="15.75" customHeight="1" x14ac:dyDescent="0.15"/>
    <row r="419" s="15" customFormat="1" ht="15.75" customHeight="1" x14ac:dyDescent="0.15"/>
    <row r="420" s="15" customFormat="1" ht="15.75" customHeight="1" x14ac:dyDescent="0.15"/>
    <row r="421" s="15" customFormat="1" ht="15.75" customHeight="1" x14ac:dyDescent="0.15"/>
    <row r="422" s="15" customFormat="1" ht="15.75" customHeight="1" x14ac:dyDescent="0.15"/>
    <row r="423" s="15" customFormat="1" ht="15.75" customHeight="1" x14ac:dyDescent="0.15"/>
    <row r="424" s="15" customFormat="1" ht="15.75" customHeight="1" x14ac:dyDescent="0.15"/>
    <row r="425" s="15" customFormat="1" ht="15.75" customHeight="1" x14ac:dyDescent="0.15"/>
    <row r="426" s="15" customFormat="1" ht="15.75" customHeight="1" x14ac:dyDescent="0.15"/>
    <row r="427" s="15" customFormat="1" ht="15.75" customHeight="1" x14ac:dyDescent="0.15"/>
    <row r="428" s="15" customFormat="1" ht="15.75" customHeight="1" x14ac:dyDescent="0.15"/>
    <row r="429" s="15" customFormat="1" ht="15.75" customHeight="1" x14ac:dyDescent="0.15"/>
    <row r="430" s="15" customFormat="1" ht="15.75" customHeight="1" x14ac:dyDescent="0.15"/>
    <row r="431" s="15" customFormat="1" ht="15.75" customHeight="1" x14ac:dyDescent="0.15"/>
    <row r="432" s="15" customFormat="1" ht="15.75" customHeight="1" x14ac:dyDescent="0.15"/>
    <row r="433" s="15" customFormat="1" ht="15.75" customHeight="1" x14ac:dyDescent="0.15"/>
    <row r="434" s="15" customFormat="1" ht="15.75" customHeight="1" x14ac:dyDescent="0.15"/>
    <row r="435" s="15" customFormat="1" ht="15.75" customHeight="1" x14ac:dyDescent="0.15"/>
    <row r="436" s="15" customFormat="1" ht="15.75" customHeight="1" x14ac:dyDescent="0.15"/>
    <row r="437" s="15" customFormat="1" ht="15.75" customHeight="1" x14ac:dyDescent="0.15"/>
    <row r="438" s="15" customFormat="1" ht="15.75" customHeight="1" x14ac:dyDescent="0.15"/>
    <row r="439" s="15" customFormat="1" ht="15.75" customHeight="1" x14ac:dyDescent="0.15"/>
    <row r="440" s="15" customFormat="1" ht="15.75" customHeight="1" x14ac:dyDescent="0.15"/>
    <row r="441" s="15" customFormat="1" ht="15.75" customHeight="1" x14ac:dyDescent="0.15"/>
    <row r="442" s="15" customFormat="1" ht="15.75" customHeight="1" x14ac:dyDescent="0.15"/>
    <row r="443" s="15" customFormat="1" ht="15.75" customHeight="1" x14ac:dyDescent="0.15"/>
    <row r="444" s="15" customFormat="1" ht="15.75" customHeight="1" x14ac:dyDescent="0.15"/>
    <row r="445" s="15" customFormat="1" ht="15.75" customHeight="1" x14ac:dyDescent="0.15"/>
    <row r="446" s="15" customFormat="1" ht="15.75" customHeight="1" x14ac:dyDescent="0.15"/>
    <row r="447" s="15" customFormat="1" ht="15.75" customHeight="1" x14ac:dyDescent="0.15"/>
    <row r="448" s="15" customFormat="1" ht="15.75" customHeight="1" x14ac:dyDescent="0.15"/>
    <row r="449" s="15" customFormat="1" ht="15.75" customHeight="1" x14ac:dyDescent="0.15"/>
    <row r="450" s="15" customFormat="1" ht="15.75" customHeight="1" x14ac:dyDescent="0.15"/>
    <row r="451" s="15" customFormat="1" ht="15.75" customHeight="1" x14ac:dyDescent="0.15"/>
    <row r="452" s="15" customFormat="1" ht="15.75" customHeight="1" x14ac:dyDescent="0.15"/>
    <row r="453" s="15" customFormat="1" ht="15.75" customHeight="1" x14ac:dyDescent="0.15"/>
    <row r="454" s="15" customFormat="1" ht="15.75" customHeight="1" x14ac:dyDescent="0.15"/>
    <row r="455" s="15" customFormat="1" ht="15.75" customHeight="1" x14ac:dyDescent="0.15"/>
    <row r="456" s="15" customFormat="1" ht="15.75" customHeight="1" x14ac:dyDescent="0.15"/>
    <row r="457" s="15" customFormat="1" ht="15.75" customHeight="1" x14ac:dyDescent="0.15"/>
    <row r="458" s="15" customFormat="1" ht="15.75" customHeight="1" x14ac:dyDescent="0.15"/>
    <row r="459" s="15" customFormat="1" ht="15.75" customHeight="1" x14ac:dyDescent="0.15"/>
    <row r="460" s="15" customFormat="1" ht="15.75" customHeight="1" x14ac:dyDescent="0.15"/>
    <row r="461" s="15" customFormat="1" ht="15.75" customHeight="1" x14ac:dyDescent="0.15"/>
    <row r="462" s="15" customFormat="1" ht="15.75" customHeight="1" x14ac:dyDescent="0.15"/>
    <row r="463" s="15" customFormat="1" ht="15.75" customHeight="1" x14ac:dyDescent="0.15"/>
    <row r="464" s="15" customFormat="1" ht="15.75" customHeight="1" x14ac:dyDescent="0.15"/>
    <row r="465" s="15" customFormat="1" ht="15.75" customHeight="1" x14ac:dyDescent="0.15"/>
    <row r="466" s="15" customFormat="1" ht="15.75" customHeight="1" x14ac:dyDescent="0.15"/>
    <row r="467" s="15" customFormat="1" ht="15.75" customHeight="1" x14ac:dyDescent="0.15"/>
    <row r="468" s="15" customFormat="1" ht="15.75" customHeight="1" x14ac:dyDescent="0.15"/>
    <row r="469" s="15" customFormat="1" ht="15.75" customHeight="1" x14ac:dyDescent="0.15"/>
    <row r="470" s="15" customFormat="1" ht="15.75" customHeight="1" x14ac:dyDescent="0.15"/>
    <row r="471" s="15" customFormat="1" ht="15.75" customHeight="1" x14ac:dyDescent="0.15"/>
    <row r="472" s="15" customFormat="1" ht="15.75" customHeight="1" x14ac:dyDescent="0.15"/>
    <row r="473" s="15" customFormat="1" ht="15.75" customHeight="1" x14ac:dyDescent="0.15"/>
    <row r="474" s="15" customFormat="1" ht="15.75" customHeight="1" x14ac:dyDescent="0.15"/>
    <row r="475" s="15" customFormat="1" ht="15.75" customHeight="1" x14ac:dyDescent="0.15"/>
    <row r="476" s="15" customFormat="1" ht="15.75" customHeight="1" x14ac:dyDescent="0.15"/>
    <row r="477" s="15" customFormat="1" ht="15.75" customHeight="1" x14ac:dyDescent="0.15"/>
    <row r="478" s="15" customFormat="1" ht="15.75" customHeight="1" x14ac:dyDescent="0.15"/>
    <row r="479" s="15" customFormat="1" ht="15.75" customHeight="1" x14ac:dyDescent="0.15"/>
    <row r="480" s="15" customFormat="1" ht="15.75" customHeight="1" x14ac:dyDescent="0.15"/>
    <row r="481" s="15" customFormat="1" ht="15.75" customHeight="1" x14ac:dyDescent="0.15"/>
    <row r="482" s="15" customFormat="1" ht="15.75" customHeight="1" x14ac:dyDescent="0.15"/>
    <row r="483" s="15" customFormat="1" ht="15.75" customHeight="1" x14ac:dyDescent="0.15"/>
    <row r="484" s="15" customFormat="1" ht="15.75" customHeight="1" x14ac:dyDescent="0.15"/>
    <row r="485" s="15" customFormat="1" ht="15.75" customHeight="1" x14ac:dyDescent="0.15"/>
    <row r="486" s="15" customFormat="1" ht="15.75" customHeight="1" x14ac:dyDescent="0.15"/>
    <row r="487" s="15" customFormat="1" ht="15.75" customHeight="1" x14ac:dyDescent="0.15"/>
    <row r="488" s="15" customFormat="1" ht="15.75" customHeight="1" x14ac:dyDescent="0.15"/>
    <row r="489" s="15" customFormat="1" ht="15.75" customHeight="1" x14ac:dyDescent="0.15"/>
    <row r="490" s="15" customFormat="1" ht="15.75" customHeight="1" x14ac:dyDescent="0.15"/>
    <row r="491" s="15" customFormat="1" ht="15.75" customHeight="1" x14ac:dyDescent="0.15"/>
    <row r="492" s="15" customFormat="1" ht="15.75" customHeight="1" x14ac:dyDescent="0.15"/>
    <row r="493" s="15" customFormat="1" ht="15.75" customHeight="1" x14ac:dyDescent="0.15"/>
    <row r="494" s="15" customFormat="1" ht="15.75" customHeight="1" x14ac:dyDescent="0.15"/>
    <row r="495" s="15" customFormat="1" ht="15.75" customHeight="1" x14ac:dyDescent="0.15"/>
    <row r="496" s="15" customFormat="1" ht="15.75" customHeight="1" x14ac:dyDescent="0.15"/>
    <row r="497" s="15" customFormat="1" ht="15.75" customHeight="1" x14ac:dyDescent="0.15"/>
    <row r="498" s="15" customFormat="1" ht="15.75" customHeight="1" x14ac:dyDescent="0.15"/>
    <row r="499" s="15" customFormat="1" ht="15.75" customHeight="1" x14ac:dyDescent="0.15"/>
    <row r="500" s="15" customFormat="1" ht="15.75" customHeight="1" x14ac:dyDescent="0.15"/>
    <row r="501" s="15" customFormat="1" ht="15.75" customHeight="1" x14ac:dyDescent="0.15"/>
    <row r="502" s="15" customFormat="1" ht="15.75" customHeight="1" x14ac:dyDescent="0.15"/>
    <row r="503" s="15" customFormat="1" ht="15.75" customHeight="1" x14ac:dyDescent="0.15"/>
    <row r="504" s="15" customFormat="1" ht="15.75" customHeight="1" x14ac:dyDescent="0.15"/>
    <row r="505" s="15" customFormat="1" ht="15.75" customHeight="1" x14ac:dyDescent="0.15"/>
    <row r="506" s="15" customFormat="1" ht="15.75" customHeight="1" x14ac:dyDescent="0.15"/>
    <row r="507" s="15" customFormat="1" ht="15.75" customHeight="1" x14ac:dyDescent="0.15"/>
    <row r="508" s="15" customFormat="1" ht="15.75" customHeight="1" x14ac:dyDescent="0.15"/>
    <row r="509" s="15" customFormat="1" ht="15.75" customHeight="1" x14ac:dyDescent="0.15"/>
    <row r="510" s="15" customFormat="1" ht="15.75" customHeight="1" x14ac:dyDescent="0.15"/>
    <row r="511" s="15" customFormat="1" ht="15.75" customHeight="1" x14ac:dyDescent="0.15"/>
    <row r="512" s="15" customFormat="1" ht="15.75" customHeight="1" x14ac:dyDescent="0.15"/>
    <row r="513" s="15" customFormat="1" ht="15.75" customHeight="1" x14ac:dyDescent="0.15"/>
    <row r="514" s="15" customFormat="1" ht="15.75" customHeight="1" x14ac:dyDescent="0.15"/>
    <row r="515" s="15" customFormat="1" ht="15.75" customHeight="1" x14ac:dyDescent="0.15"/>
    <row r="516" s="15" customFormat="1" ht="15.75" customHeight="1" x14ac:dyDescent="0.15"/>
    <row r="517" s="15" customFormat="1" ht="15.75" customHeight="1" x14ac:dyDescent="0.15"/>
    <row r="518" s="15" customFormat="1" ht="15.75" customHeight="1" x14ac:dyDescent="0.15"/>
    <row r="519" s="15" customFormat="1" ht="15.75" customHeight="1" x14ac:dyDescent="0.15"/>
    <row r="520" s="15" customFormat="1" ht="15.75" customHeight="1" x14ac:dyDescent="0.15"/>
    <row r="521" s="15" customFormat="1" ht="15.75" customHeight="1" x14ac:dyDescent="0.15"/>
    <row r="522" s="15" customFormat="1" ht="15.75" customHeight="1" x14ac:dyDescent="0.15"/>
    <row r="523" s="15" customFormat="1" ht="15.75" customHeight="1" x14ac:dyDescent="0.15"/>
    <row r="524" s="15" customFormat="1" ht="15.75" customHeight="1" x14ac:dyDescent="0.15"/>
    <row r="525" s="15" customFormat="1" ht="15.75" customHeight="1" x14ac:dyDescent="0.15"/>
    <row r="526" s="15" customFormat="1" ht="15.75" customHeight="1" x14ac:dyDescent="0.15"/>
    <row r="527" s="15" customFormat="1" ht="15.75" customHeight="1" x14ac:dyDescent="0.15"/>
    <row r="528" s="15" customFormat="1" ht="15.75" customHeight="1" x14ac:dyDescent="0.15"/>
    <row r="529" s="15" customFormat="1" ht="15.75" customHeight="1" x14ac:dyDescent="0.15"/>
    <row r="530" s="15" customFormat="1" ht="15.75" customHeight="1" x14ac:dyDescent="0.15"/>
    <row r="531" s="15" customFormat="1" ht="15.75" customHeight="1" x14ac:dyDescent="0.15"/>
    <row r="532" s="15" customFormat="1" ht="15.75" customHeight="1" x14ac:dyDescent="0.15"/>
    <row r="533" s="15" customFormat="1" ht="15.75" customHeight="1" x14ac:dyDescent="0.15"/>
    <row r="534" s="15" customFormat="1" ht="15.75" customHeight="1" x14ac:dyDescent="0.15"/>
    <row r="535" s="15" customFormat="1" ht="15.75" customHeight="1" x14ac:dyDescent="0.15"/>
    <row r="536" s="15" customFormat="1" ht="15.75" customHeight="1" x14ac:dyDescent="0.15"/>
    <row r="537" s="15" customFormat="1" ht="15.75" customHeight="1" x14ac:dyDescent="0.15"/>
    <row r="538" s="15" customFormat="1" ht="15.75" customHeight="1" x14ac:dyDescent="0.15"/>
    <row r="539" s="15" customFormat="1" ht="15.75" customHeight="1" x14ac:dyDescent="0.15"/>
    <row r="540" s="15" customFormat="1" ht="15.75" customHeight="1" x14ac:dyDescent="0.15"/>
    <row r="541" s="15" customFormat="1" ht="15.75" customHeight="1" x14ac:dyDescent="0.15"/>
    <row r="542" s="15" customFormat="1" ht="15.75" customHeight="1" x14ac:dyDescent="0.15"/>
    <row r="543" s="15" customFormat="1" ht="15.75" customHeight="1" x14ac:dyDescent="0.15"/>
    <row r="544" s="15" customFormat="1" ht="15.75" customHeight="1" x14ac:dyDescent="0.15"/>
    <row r="545" s="15" customFormat="1" ht="15.75" customHeight="1" x14ac:dyDescent="0.15"/>
    <row r="546" s="15" customFormat="1" ht="15.75" customHeight="1" x14ac:dyDescent="0.15"/>
    <row r="547" s="15" customFormat="1" ht="15.75" customHeight="1" x14ac:dyDescent="0.15"/>
    <row r="548" s="15" customFormat="1" ht="15.75" customHeight="1" x14ac:dyDescent="0.15"/>
    <row r="549" s="15" customFormat="1" ht="15.75" customHeight="1" x14ac:dyDescent="0.15"/>
    <row r="550" s="15" customFormat="1" ht="15.75" customHeight="1" x14ac:dyDescent="0.15"/>
    <row r="551" s="15" customFormat="1" ht="15.75" customHeight="1" x14ac:dyDescent="0.15"/>
    <row r="552" s="15" customFormat="1" ht="15.75" customHeight="1" x14ac:dyDescent="0.15"/>
    <row r="553" s="15" customFormat="1" ht="15.75" customHeight="1" x14ac:dyDescent="0.15"/>
    <row r="554" s="15" customFormat="1" ht="15.75" customHeight="1" x14ac:dyDescent="0.15"/>
    <row r="555" s="15" customFormat="1" ht="15.75" customHeight="1" x14ac:dyDescent="0.15"/>
    <row r="556" s="15" customFormat="1" ht="15.75" customHeight="1" x14ac:dyDescent="0.15"/>
    <row r="557" s="15" customFormat="1" ht="15.75" customHeight="1" x14ac:dyDescent="0.15"/>
    <row r="558" s="15" customFormat="1" ht="15.75" customHeight="1" x14ac:dyDescent="0.15"/>
    <row r="559" s="15" customFormat="1" ht="15.75" customHeight="1" x14ac:dyDescent="0.15"/>
    <row r="560" s="15" customFormat="1" ht="15.75" customHeight="1" x14ac:dyDescent="0.15"/>
    <row r="561" s="15" customFormat="1" ht="15.75" customHeight="1" x14ac:dyDescent="0.15"/>
    <row r="562" s="15" customFormat="1" ht="15.75" customHeight="1" x14ac:dyDescent="0.15"/>
    <row r="563" s="15" customFormat="1" ht="15.75" customHeight="1" x14ac:dyDescent="0.15"/>
    <row r="564" s="15" customFormat="1" ht="15.75" customHeight="1" x14ac:dyDescent="0.15"/>
    <row r="565" s="15" customFormat="1" ht="15.75" customHeight="1" x14ac:dyDescent="0.15"/>
    <row r="566" s="15" customFormat="1" ht="15.75" customHeight="1" x14ac:dyDescent="0.15"/>
    <row r="567" s="15" customFormat="1" ht="15.75" customHeight="1" x14ac:dyDescent="0.15"/>
    <row r="568" s="15" customFormat="1" ht="15.75" customHeight="1" x14ac:dyDescent="0.15"/>
    <row r="569" s="15" customFormat="1" ht="15.75" customHeight="1" x14ac:dyDescent="0.15"/>
    <row r="570" s="15" customFormat="1" ht="15.75" customHeight="1" x14ac:dyDescent="0.15"/>
    <row r="571" s="15" customFormat="1" ht="15.75" customHeight="1" x14ac:dyDescent="0.15"/>
    <row r="572" s="15" customFormat="1" ht="15.75" customHeight="1" x14ac:dyDescent="0.15"/>
    <row r="573" s="15" customFormat="1" ht="15.75" customHeight="1" x14ac:dyDescent="0.15"/>
    <row r="574" s="15" customFormat="1" ht="15.75" customHeight="1" x14ac:dyDescent="0.15"/>
    <row r="575" s="15" customFormat="1" ht="15.75" customHeight="1" x14ac:dyDescent="0.15"/>
    <row r="576" s="15" customFormat="1" ht="15.75" customHeight="1" x14ac:dyDescent="0.15"/>
    <row r="577" s="15" customFormat="1" ht="15.75" customHeight="1" x14ac:dyDescent="0.15"/>
    <row r="578" s="15" customFormat="1" ht="15.75" customHeight="1" x14ac:dyDescent="0.15"/>
    <row r="579" s="15" customFormat="1" ht="15.75" customHeight="1" x14ac:dyDescent="0.15"/>
    <row r="580" s="15" customFormat="1" ht="15.75" customHeight="1" x14ac:dyDescent="0.15"/>
    <row r="581" s="15" customFormat="1" ht="15.75" customHeight="1" x14ac:dyDescent="0.15"/>
    <row r="582" s="15" customFormat="1" ht="15.75" customHeight="1" x14ac:dyDescent="0.15"/>
    <row r="583" s="15" customFormat="1" ht="15.75" customHeight="1" x14ac:dyDescent="0.15"/>
    <row r="584" s="15" customFormat="1" ht="15.75" customHeight="1" x14ac:dyDescent="0.15"/>
    <row r="585" s="15" customFormat="1" ht="15.75" customHeight="1" x14ac:dyDescent="0.15"/>
    <row r="586" s="15" customFormat="1" ht="15.75" customHeight="1" x14ac:dyDescent="0.15"/>
    <row r="587" s="15" customFormat="1" ht="15.75" customHeight="1" x14ac:dyDescent="0.15"/>
    <row r="588" s="15" customFormat="1" ht="15.75" customHeight="1" x14ac:dyDescent="0.15"/>
    <row r="589" s="15" customFormat="1" ht="15.75" customHeight="1" x14ac:dyDescent="0.15"/>
    <row r="590" s="15" customFormat="1" ht="15.75" customHeight="1" x14ac:dyDescent="0.15"/>
    <row r="591" s="15" customFormat="1" ht="15.75" customHeight="1" x14ac:dyDescent="0.15"/>
    <row r="592" s="15" customFormat="1" ht="15.75" customHeight="1" x14ac:dyDescent="0.15"/>
    <row r="593" s="15" customFormat="1" ht="15.75" customHeight="1" x14ac:dyDescent="0.15"/>
    <row r="594" s="15" customFormat="1" ht="15.75" customHeight="1" x14ac:dyDescent="0.15"/>
    <row r="595" s="15" customFormat="1" ht="15.75" customHeight="1" x14ac:dyDescent="0.15"/>
    <row r="596" s="15" customFormat="1" ht="15.75" customHeight="1" x14ac:dyDescent="0.15"/>
    <row r="597" s="15" customFormat="1" ht="15.75" customHeight="1" x14ac:dyDescent="0.15"/>
    <row r="598" s="15" customFormat="1" ht="15.75" customHeight="1" x14ac:dyDescent="0.15"/>
    <row r="599" s="15" customFormat="1" ht="15.75" customHeight="1" x14ac:dyDescent="0.15"/>
    <row r="600" s="15" customFormat="1" ht="15.75" customHeight="1" x14ac:dyDescent="0.15"/>
    <row r="601" s="15" customFormat="1" ht="15.75" customHeight="1" x14ac:dyDescent="0.15"/>
    <row r="602" s="15" customFormat="1" ht="15.75" customHeight="1" x14ac:dyDescent="0.15"/>
    <row r="603" s="15" customFormat="1" ht="15.75" customHeight="1" x14ac:dyDescent="0.15"/>
    <row r="604" s="15" customFormat="1" ht="15.75" customHeight="1" x14ac:dyDescent="0.15"/>
    <row r="605" s="15" customFormat="1" ht="15.75" customHeight="1" x14ac:dyDescent="0.15"/>
    <row r="606" s="15" customFormat="1" ht="15.75" customHeight="1" x14ac:dyDescent="0.15"/>
    <row r="607" s="15" customFormat="1" ht="15.75" customHeight="1" x14ac:dyDescent="0.15"/>
    <row r="608" s="15" customFormat="1" ht="15.75" customHeight="1" x14ac:dyDescent="0.15"/>
    <row r="609" s="15" customFormat="1" ht="15.75" customHeight="1" x14ac:dyDescent="0.15"/>
    <row r="610" s="15" customFormat="1" ht="15.75" customHeight="1" x14ac:dyDescent="0.15"/>
    <row r="611" s="15" customFormat="1" ht="15.75" customHeight="1" x14ac:dyDescent="0.15"/>
    <row r="612" s="15" customFormat="1" ht="15.75" customHeight="1" x14ac:dyDescent="0.15"/>
    <row r="613" s="15" customFormat="1" ht="15.75" customHeight="1" x14ac:dyDescent="0.15"/>
    <row r="614" s="15" customFormat="1" ht="15.75" customHeight="1" x14ac:dyDescent="0.15"/>
    <row r="615" s="15" customFormat="1" ht="15.75" customHeight="1" x14ac:dyDescent="0.15"/>
    <row r="616" s="15" customFormat="1" ht="15.75" customHeight="1" x14ac:dyDescent="0.15"/>
    <row r="617" s="15" customFormat="1" ht="15.75" customHeight="1" x14ac:dyDescent="0.15"/>
    <row r="618" s="15" customFormat="1" ht="15.75" customHeight="1" x14ac:dyDescent="0.15"/>
    <row r="619" s="15" customFormat="1" ht="15.75" customHeight="1" x14ac:dyDescent="0.15"/>
    <row r="620" s="15" customFormat="1" ht="15.75" customHeight="1" x14ac:dyDescent="0.15"/>
    <row r="621" s="15" customFormat="1" ht="15.75" customHeight="1" x14ac:dyDescent="0.15"/>
    <row r="622" s="15" customFormat="1" ht="15.75" customHeight="1" x14ac:dyDescent="0.15"/>
    <row r="623" s="15" customFormat="1" ht="15.75" customHeight="1" x14ac:dyDescent="0.15"/>
    <row r="624" s="15" customFormat="1" ht="15.75" customHeight="1" x14ac:dyDescent="0.15"/>
    <row r="625" s="15" customFormat="1" ht="15.75" customHeight="1" x14ac:dyDescent="0.15"/>
    <row r="626" s="15" customFormat="1" ht="15.75" customHeight="1" x14ac:dyDescent="0.15"/>
    <row r="627" s="15" customFormat="1" ht="15.75" customHeight="1" x14ac:dyDescent="0.15"/>
    <row r="628" s="15" customFormat="1" ht="15.75" customHeight="1" x14ac:dyDescent="0.15"/>
    <row r="629" s="15" customFormat="1" ht="15.75" customHeight="1" x14ac:dyDescent="0.15"/>
    <row r="630" s="15" customFormat="1" ht="15.75" customHeight="1" x14ac:dyDescent="0.15"/>
    <row r="631" s="15" customFormat="1" ht="15.75" customHeight="1" x14ac:dyDescent="0.15"/>
    <row r="632" s="15" customFormat="1" ht="15.75" customHeight="1" x14ac:dyDescent="0.15"/>
    <row r="633" s="15" customFormat="1" ht="15.75" customHeight="1" x14ac:dyDescent="0.15"/>
    <row r="634" s="15" customFormat="1" ht="15.75" customHeight="1" x14ac:dyDescent="0.15"/>
    <row r="635" s="15" customFormat="1" ht="15.75" customHeight="1" x14ac:dyDescent="0.15"/>
    <row r="636" s="15" customFormat="1" ht="15.75" customHeight="1" x14ac:dyDescent="0.15"/>
    <row r="637" s="15" customFormat="1" ht="15.75" customHeight="1" x14ac:dyDescent="0.15"/>
    <row r="638" s="15" customFormat="1" ht="15.75" customHeight="1" x14ac:dyDescent="0.15"/>
    <row r="639" s="15" customFormat="1" ht="15.75" customHeight="1" x14ac:dyDescent="0.15"/>
    <row r="640" s="15" customFormat="1" ht="15.75" customHeight="1" x14ac:dyDescent="0.15"/>
    <row r="641" s="15" customFormat="1" ht="15.75" customHeight="1" x14ac:dyDescent="0.15"/>
    <row r="642" s="15" customFormat="1" ht="15.75" customHeight="1" x14ac:dyDescent="0.15"/>
    <row r="643" s="15" customFormat="1" ht="15.75" customHeight="1" x14ac:dyDescent="0.15"/>
    <row r="644" s="15" customFormat="1" ht="15.75" customHeight="1" x14ac:dyDescent="0.15"/>
    <row r="645" s="15" customFormat="1" ht="15.75" customHeight="1" x14ac:dyDescent="0.15"/>
    <row r="646" s="15" customFormat="1" ht="15.75" customHeight="1" x14ac:dyDescent="0.15"/>
    <row r="647" s="15" customFormat="1" ht="15.75" customHeight="1" x14ac:dyDescent="0.15"/>
    <row r="648" s="15" customFormat="1" ht="15.75" customHeight="1" x14ac:dyDescent="0.15"/>
    <row r="649" s="15" customFormat="1" ht="15.75" customHeight="1" x14ac:dyDescent="0.15"/>
    <row r="650" s="15" customFormat="1" ht="15.75" customHeight="1" x14ac:dyDescent="0.15"/>
    <row r="651" s="15" customFormat="1" ht="15.75" customHeight="1" x14ac:dyDescent="0.15"/>
    <row r="652" s="15" customFormat="1" ht="15.75" customHeight="1" x14ac:dyDescent="0.15"/>
    <row r="653" s="15" customFormat="1" ht="15.75" customHeight="1" x14ac:dyDescent="0.15"/>
    <row r="654" s="15" customFormat="1" ht="15.75" customHeight="1" x14ac:dyDescent="0.15"/>
    <row r="655" s="15" customFormat="1" ht="15.75" customHeight="1" x14ac:dyDescent="0.15"/>
    <row r="656" s="15" customFormat="1" ht="15.75" customHeight="1" x14ac:dyDescent="0.15"/>
    <row r="657" s="15" customFormat="1" ht="15.75" customHeight="1" x14ac:dyDescent="0.15"/>
    <row r="658" s="15" customFormat="1" ht="15.75" customHeight="1" x14ac:dyDescent="0.15"/>
    <row r="659" s="15" customFormat="1" ht="15.75" customHeight="1" x14ac:dyDescent="0.15"/>
    <row r="660" s="15" customFormat="1" ht="15.75" customHeight="1" x14ac:dyDescent="0.15"/>
    <row r="661" s="15" customFormat="1" ht="15.75" customHeight="1" x14ac:dyDescent="0.15"/>
    <row r="662" s="15" customFormat="1" ht="15.75" customHeight="1" x14ac:dyDescent="0.15"/>
    <row r="663" s="15" customFormat="1" ht="15.75" customHeight="1" x14ac:dyDescent="0.15"/>
    <row r="664" s="15" customFormat="1" ht="15.75" customHeight="1" x14ac:dyDescent="0.15"/>
    <row r="665" s="15" customFormat="1" ht="15.75" customHeight="1" x14ac:dyDescent="0.15"/>
    <row r="666" s="15" customFormat="1" ht="15.75" customHeight="1" x14ac:dyDescent="0.15"/>
    <row r="667" s="15" customFormat="1" ht="15.75" customHeight="1" x14ac:dyDescent="0.15"/>
    <row r="668" s="15" customFormat="1" ht="15.75" customHeight="1" x14ac:dyDescent="0.15"/>
    <row r="669" s="15" customFormat="1" ht="15.75" customHeight="1" x14ac:dyDescent="0.15"/>
    <row r="670" s="15" customFormat="1" ht="15.75" customHeight="1" x14ac:dyDescent="0.15"/>
    <row r="671" s="15" customFormat="1" ht="15.75" customHeight="1" x14ac:dyDescent="0.15"/>
    <row r="672" s="15" customFormat="1" ht="15.75" customHeight="1" x14ac:dyDescent="0.15"/>
    <row r="673" s="15" customFormat="1" ht="15.75" customHeight="1" x14ac:dyDescent="0.15"/>
    <row r="674" s="15" customFormat="1" ht="15.75" customHeight="1" x14ac:dyDescent="0.15"/>
    <row r="675" s="15" customFormat="1" ht="15.75" customHeight="1" x14ac:dyDescent="0.15"/>
    <row r="676" s="15" customFormat="1" ht="15.75" customHeight="1" x14ac:dyDescent="0.15"/>
    <row r="677" s="15" customFormat="1" ht="15.75" customHeight="1" x14ac:dyDescent="0.15"/>
    <row r="678" s="15" customFormat="1" ht="15.75" customHeight="1" x14ac:dyDescent="0.15"/>
    <row r="679" s="15" customFormat="1" ht="15.75" customHeight="1" x14ac:dyDescent="0.15"/>
    <row r="680" s="15" customFormat="1" ht="15.75" customHeight="1" x14ac:dyDescent="0.15"/>
    <row r="681" s="15" customFormat="1" ht="15.75" customHeight="1" x14ac:dyDescent="0.15"/>
    <row r="682" s="15" customFormat="1" ht="15.75" customHeight="1" x14ac:dyDescent="0.15"/>
    <row r="683" s="15" customFormat="1" ht="15.75" customHeight="1" x14ac:dyDescent="0.15"/>
    <row r="684" s="15" customFormat="1" ht="15.75" customHeight="1" x14ac:dyDescent="0.15"/>
    <row r="685" s="15" customFormat="1" ht="15.75" customHeight="1" x14ac:dyDescent="0.15"/>
    <row r="686" s="15" customFormat="1" ht="15.75" customHeight="1" x14ac:dyDescent="0.15"/>
    <row r="687" s="15" customFormat="1" ht="15.75" customHeight="1" x14ac:dyDescent="0.15"/>
    <row r="688" s="15" customFormat="1" ht="15.75" customHeight="1" x14ac:dyDescent="0.15"/>
    <row r="689" s="15" customFormat="1" ht="15.75" customHeight="1" x14ac:dyDescent="0.15"/>
    <row r="690" s="15" customFormat="1" ht="15.75" customHeight="1" x14ac:dyDescent="0.15"/>
    <row r="691" s="15" customFormat="1" ht="15.75" customHeight="1" x14ac:dyDescent="0.15"/>
    <row r="692" s="15" customFormat="1" ht="15.75" customHeight="1" x14ac:dyDescent="0.15"/>
    <row r="693" s="15" customFormat="1" ht="15.75" customHeight="1" x14ac:dyDescent="0.15"/>
    <row r="694" s="15" customFormat="1" ht="15.75" customHeight="1" x14ac:dyDescent="0.15"/>
    <row r="695" s="15" customFormat="1" ht="15.75" customHeight="1" x14ac:dyDescent="0.15"/>
    <row r="696" s="15" customFormat="1" ht="15.75" customHeight="1" x14ac:dyDescent="0.15"/>
    <row r="697" s="15" customFormat="1" ht="15.75" customHeight="1" x14ac:dyDescent="0.15"/>
    <row r="698" s="15" customFormat="1" ht="15.75" customHeight="1" x14ac:dyDescent="0.15"/>
    <row r="699" s="15" customFormat="1" ht="15.75" customHeight="1" x14ac:dyDescent="0.15"/>
    <row r="700" s="15" customFormat="1" ht="15.75" customHeight="1" x14ac:dyDescent="0.15"/>
    <row r="701" s="15" customFormat="1" ht="15.75" customHeight="1" x14ac:dyDescent="0.15"/>
    <row r="702" s="15" customFormat="1" ht="15.75" customHeight="1" x14ac:dyDescent="0.15"/>
    <row r="703" s="15" customFormat="1" ht="15.75" customHeight="1" x14ac:dyDescent="0.15"/>
    <row r="704" s="15" customFormat="1" ht="15.75" customHeight="1" x14ac:dyDescent="0.15"/>
    <row r="705" s="15" customFormat="1" ht="15.75" customHeight="1" x14ac:dyDescent="0.15"/>
    <row r="706" s="15" customFormat="1" ht="15.75" customHeight="1" x14ac:dyDescent="0.15"/>
    <row r="707" s="15" customFormat="1" ht="15.75" customHeight="1" x14ac:dyDescent="0.15"/>
    <row r="708" s="15" customFormat="1" ht="15.75" customHeight="1" x14ac:dyDescent="0.15"/>
    <row r="709" s="15" customFormat="1" ht="15.75" customHeight="1" x14ac:dyDescent="0.15"/>
    <row r="710" s="15" customFormat="1" ht="15.75" customHeight="1" x14ac:dyDescent="0.15"/>
    <row r="711" s="15" customFormat="1" ht="15.75" customHeight="1" x14ac:dyDescent="0.15"/>
    <row r="712" s="15" customFormat="1" ht="15.75" customHeight="1" x14ac:dyDescent="0.15"/>
    <row r="713" s="15" customFormat="1" ht="15.75" customHeight="1" x14ac:dyDescent="0.15"/>
    <row r="714" s="15" customFormat="1" ht="15.75" customHeight="1" x14ac:dyDescent="0.15"/>
    <row r="715" s="15" customFormat="1" ht="15.75" customHeight="1" x14ac:dyDescent="0.15"/>
    <row r="716" s="15" customFormat="1" ht="15.75" customHeight="1" x14ac:dyDescent="0.15"/>
    <row r="717" s="15" customFormat="1" ht="15.75" customHeight="1" x14ac:dyDescent="0.15"/>
    <row r="718" s="15" customFormat="1" ht="15.75" customHeight="1" x14ac:dyDescent="0.15"/>
    <row r="719" s="15" customFormat="1" ht="15.75" customHeight="1" x14ac:dyDescent="0.15"/>
    <row r="720" s="15" customFormat="1" ht="15.75" customHeight="1" x14ac:dyDescent="0.15"/>
    <row r="721" s="15" customFormat="1" ht="15.75" customHeight="1" x14ac:dyDescent="0.15"/>
    <row r="722" s="15" customFormat="1" ht="15.75" customHeight="1" x14ac:dyDescent="0.15"/>
    <row r="723" s="15" customFormat="1" ht="15.75" customHeight="1" x14ac:dyDescent="0.15"/>
    <row r="724" s="15" customFormat="1" ht="15.75" customHeight="1" x14ac:dyDescent="0.15"/>
    <row r="725" s="15" customFormat="1" ht="15.75" customHeight="1" x14ac:dyDescent="0.15"/>
    <row r="726" s="15" customFormat="1" ht="15.75" customHeight="1" x14ac:dyDescent="0.15"/>
    <row r="727" s="15" customFormat="1" ht="15.75" customHeight="1" x14ac:dyDescent="0.15"/>
    <row r="728" s="15" customFormat="1" ht="15.75" customHeight="1" x14ac:dyDescent="0.15"/>
    <row r="729" s="15" customFormat="1" ht="15.75" customHeight="1" x14ac:dyDescent="0.15"/>
    <row r="730" s="15" customFormat="1" ht="15.75" customHeight="1" x14ac:dyDescent="0.15"/>
    <row r="731" s="15" customFormat="1" ht="15.75" customHeight="1" x14ac:dyDescent="0.15"/>
    <row r="732" s="15" customFormat="1" ht="15.75" customHeight="1" x14ac:dyDescent="0.15"/>
    <row r="733" s="15" customFormat="1" ht="15.75" customHeight="1" x14ac:dyDescent="0.15"/>
    <row r="734" s="15" customFormat="1" ht="15.75" customHeight="1" x14ac:dyDescent="0.15"/>
    <row r="735" s="15" customFormat="1" ht="15.75" customHeight="1" x14ac:dyDescent="0.15"/>
    <row r="736" s="15" customFormat="1" ht="15.75" customHeight="1" x14ac:dyDescent="0.15"/>
    <row r="737" s="15" customFormat="1" ht="15.75" customHeight="1" x14ac:dyDescent="0.15"/>
    <row r="738" s="15" customFormat="1" ht="15.75" customHeight="1" x14ac:dyDescent="0.15"/>
    <row r="739" s="15" customFormat="1" ht="15.75" customHeight="1" x14ac:dyDescent="0.15"/>
    <row r="740" s="15" customFormat="1" ht="15.75" customHeight="1" x14ac:dyDescent="0.15"/>
    <row r="741" s="15" customFormat="1" ht="15.75" customHeight="1" x14ac:dyDescent="0.15"/>
    <row r="742" s="15" customFormat="1" ht="15.75" customHeight="1" x14ac:dyDescent="0.15"/>
    <row r="743" s="15" customFormat="1" ht="15.75" customHeight="1" x14ac:dyDescent="0.15"/>
    <row r="744" s="15" customFormat="1" ht="15.75" customHeight="1" x14ac:dyDescent="0.15"/>
    <row r="745" s="15" customFormat="1" ht="15.75" customHeight="1" x14ac:dyDescent="0.15"/>
    <row r="746" s="15" customFormat="1" ht="15.75" customHeight="1" x14ac:dyDescent="0.15"/>
    <row r="747" s="15" customFormat="1" ht="15.75" customHeight="1" x14ac:dyDescent="0.15"/>
    <row r="748" s="15" customFormat="1" ht="15.75" customHeight="1" x14ac:dyDescent="0.15"/>
    <row r="749" s="15" customFormat="1" ht="15.75" customHeight="1" x14ac:dyDescent="0.15"/>
    <row r="750" s="15" customFormat="1" ht="15.75" customHeight="1" x14ac:dyDescent="0.15"/>
    <row r="751" s="15" customFormat="1" ht="15.75" customHeight="1" x14ac:dyDescent="0.15"/>
    <row r="752" s="15" customFormat="1" ht="15.75" customHeight="1" x14ac:dyDescent="0.15"/>
    <row r="753" s="15" customFormat="1" ht="15.75" customHeight="1" x14ac:dyDescent="0.15"/>
    <row r="754" s="15" customFormat="1" ht="15.75" customHeight="1" x14ac:dyDescent="0.15"/>
    <row r="755" s="15" customFormat="1" ht="15.75" customHeight="1" x14ac:dyDescent="0.15"/>
    <row r="756" s="15" customFormat="1" ht="15.75" customHeight="1" x14ac:dyDescent="0.15"/>
    <row r="757" s="15" customFormat="1" ht="15.75" customHeight="1" x14ac:dyDescent="0.15"/>
    <row r="758" s="15" customFormat="1" ht="15.75" customHeight="1" x14ac:dyDescent="0.15"/>
    <row r="759" s="15" customFormat="1" ht="15.75" customHeight="1" x14ac:dyDescent="0.15"/>
    <row r="760" s="15" customFormat="1" ht="15.75" customHeight="1" x14ac:dyDescent="0.15"/>
    <row r="761" s="15" customFormat="1" ht="15.75" customHeight="1" x14ac:dyDescent="0.15"/>
    <row r="762" s="15" customFormat="1" ht="15.75" customHeight="1" x14ac:dyDescent="0.15"/>
    <row r="763" s="15" customFormat="1" ht="15.75" customHeight="1" x14ac:dyDescent="0.15"/>
    <row r="764" s="15" customFormat="1" ht="15.75" customHeight="1" x14ac:dyDescent="0.15"/>
    <row r="765" s="15" customFormat="1" ht="15.75" customHeight="1" x14ac:dyDescent="0.15"/>
    <row r="766" s="15" customFormat="1" ht="15.75" customHeight="1" x14ac:dyDescent="0.15"/>
    <row r="767" s="15" customFormat="1" ht="15.75" customHeight="1" x14ac:dyDescent="0.15"/>
    <row r="768" s="15" customFormat="1" ht="15.75" customHeight="1" x14ac:dyDescent="0.15"/>
    <row r="769" s="15" customFormat="1" ht="15.75" customHeight="1" x14ac:dyDescent="0.15"/>
    <row r="770" s="15" customFormat="1" ht="15.75" customHeight="1" x14ac:dyDescent="0.15"/>
    <row r="771" s="15" customFormat="1" ht="15.75" customHeight="1" x14ac:dyDescent="0.15"/>
    <row r="772" s="15" customFormat="1" ht="15.75" customHeight="1" x14ac:dyDescent="0.15"/>
    <row r="773" s="15" customFormat="1" ht="15.75" customHeight="1" x14ac:dyDescent="0.15"/>
    <row r="774" s="15" customFormat="1" ht="15.75" customHeight="1" x14ac:dyDescent="0.15"/>
    <row r="775" s="15" customFormat="1" ht="15.75" customHeight="1" x14ac:dyDescent="0.15"/>
    <row r="776" s="15" customFormat="1" ht="15.75" customHeight="1" x14ac:dyDescent="0.15"/>
    <row r="777" s="15" customFormat="1" ht="15.75" customHeight="1" x14ac:dyDescent="0.15"/>
    <row r="778" s="15" customFormat="1" ht="15.75" customHeight="1" x14ac:dyDescent="0.15"/>
    <row r="779" s="15" customFormat="1" ht="15.75" customHeight="1" x14ac:dyDescent="0.15"/>
    <row r="780" s="15" customFormat="1" ht="15.75" customHeight="1" x14ac:dyDescent="0.15"/>
    <row r="781" s="15" customFormat="1" ht="15.75" customHeight="1" x14ac:dyDescent="0.15"/>
    <row r="782" s="15" customFormat="1" ht="15.75" customHeight="1" x14ac:dyDescent="0.15"/>
    <row r="783" s="15" customFormat="1" ht="15.75" customHeight="1" x14ac:dyDescent="0.15"/>
    <row r="784" s="15" customFormat="1" ht="15.75" customHeight="1" x14ac:dyDescent="0.15"/>
    <row r="785" s="15" customFormat="1" ht="15.75" customHeight="1" x14ac:dyDescent="0.15"/>
    <row r="786" s="15" customFormat="1" ht="15.75" customHeight="1" x14ac:dyDescent="0.15"/>
    <row r="787" s="15" customFormat="1" ht="15.75" customHeight="1" x14ac:dyDescent="0.15"/>
    <row r="788" s="15" customFormat="1" ht="15.75" customHeight="1" x14ac:dyDescent="0.15"/>
    <row r="789" s="15" customFormat="1" ht="15.75" customHeight="1" x14ac:dyDescent="0.15"/>
    <row r="790" s="15" customFormat="1" ht="15.75" customHeight="1" x14ac:dyDescent="0.15"/>
    <row r="791" s="15" customFormat="1" ht="15.75" customHeight="1" x14ac:dyDescent="0.15"/>
    <row r="792" s="15" customFormat="1" ht="15.75" customHeight="1" x14ac:dyDescent="0.15"/>
    <row r="793" s="15" customFormat="1" ht="15.75" customHeight="1" x14ac:dyDescent="0.15"/>
    <row r="794" s="15" customFormat="1" ht="15.75" customHeight="1" x14ac:dyDescent="0.15"/>
    <row r="795" s="15" customFormat="1" ht="15.75" customHeight="1" x14ac:dyDescent="0.15"/>
    <row r="796" s="15" customFormat="1" ht="15.75" customHeight="1" x14ac:dyDescent="0.15"/>
    <row r="797" s="15" customFormat="1" ht="15.75" customHeight="1" x14ac:dyDescent="0.15"/>
    <row r="798" s="15" customFormat="1" ht="15.75" customHeight="1" x14ac:dyDescent="0.15"/>
    <row r="799" s="15" customFormat="1" ht="15.75" customHeight="1" x14ac:dyDescent="0.15"/>
    <row r="800" s="15" customFormat="1" ht="15.75" customHeight="1" x14ac:dyDescent="0.15"/>
    <row r="801" s="15" customFormat="1" ht="15.75" customHeight="1" x14ac:dyDescent="0.15"/>
    <row r="802" s="15" customFormat="1" ht="15.75" customHeight="1" x14ac:dyDescent="0.15"/>
    <row r="803" s="15" customFormat="1" ht="15.75" customHeight="1" x14ac:dyDescent="0.15"/>
    <row r="804" s="15" customFormat="1" ht="15.75" customHeight="1" x14ac:dyDescent="0.15"/>
    <row r="805" s="15" customFormat="1" ht="15.75" customHeight="1" x14ac:dyDescent="0.15"/>
    <row r="806" s="15" customFormat="1" ht="15.75" customHeight="1" x14ac:dyDescent="0.15"/>
    <row r="807" s="15" customFormat="1" ht="15.75" customHeight="1" x14ac:dyDescent="0.15"/>
    <row r="808" s="15" customFormat="1" ht="15.75" customHeight="1" x14ac:dyDescent="0.15"/>
    <row r="809" s="15" customFormat="1" ht="15.75" customHeight="1" x14ac:dyDescent="0.15"/>
    <row r="810" s="15" customFormat="1" ht="15.75" customHeight="1" x14ac:dyDescent="0.15"/>
    <row r="811" s="15" customFormat="1" ht="15.75" customHeight="1" x14ac:dyDescent="0.15"/>
    <row r="812" s="15" customFormat="1" ht="15.75" customHeight="1" x14ac:dyDescent="0.15"/>
    <row r="813" s="15" customFormat="1" ht="15.75" customHeight="1" x14ac:dyDescent="0.15"/>
    <row r="814" s="15" customFormat="1" ht="15.75" customHeight="1" x14ac:dyDescent="0.15"/>
    <row r="815" s="15" customFormat="1" ht="15.75" customHeight="1" x14ac:dyDescent="0.15"/>
    <row r="816" s="15" customFormat="1" ht="15.75" customHeight="1" x14ac:dyDescent="0.15"/>
    <row r="817" s="15" customFormat="1" ht="15.75" customHeight="1" x14ac:dyDescent="0.15"/>
    <row r="818" s="15" customFormat="1" ht="15.75" customHeight="1" x14ac:dyDescent="0.15"/>
    <row r="819" s="15" customFormat="1" ht="15.75" customHeight="1" x14ac:dyDescent="0.15"/>
    <row r="820" s="15" customFormat="1" ht="15.75" customHeight="1" x14ac:dyDescent="0.15"/>
    <row r="821" s="15" customFormat="1" ht="15.75" customHeight="1" x14ac:dyDescent="0.15"/>
    <row r="822" s="15" customFormat="1" ht="15.75" customHeight="1" x14ac:dyDescent="0.15"/>
    <row r="823" s="15" customFormat="1" ht="15.75" customHeight="1" x14ac:dyDescent="0.15"/>
    <row r="824" s="15" customFormat="1" ht="15.75" customHeight="1" x14ac:dyDescent="0.15"/>
    <row r="825" s="15" customFormat="1" ht="15.75" customHeight="1" x14ac:dyDescent="0.15"/>
    <row r="826" s="15" customFormat="1" ht="15.75" customHeight="1" x14ac:dyDescent="0.15"/>
    <row r="827" s="15" customFormat="1" ht="15.75" customHeight="1" x14ac:dyDescent="0.15"/>
    <row r="828" s="15" customFormat="1" ht="15.75" customHeight="1" x14ac:dyDescent="0.15"/>
    <row r="829" s="15" customFormat="1" ht="15.75" customHeight="1" x14ac:dyDescent="0.15"/>
    <row r="830" s="15" customFormat="1" ht="15.75" customHeight="1" x14ac:dyDescent="0.15"/>
    <row r="831" s="15" customFormat="1" ht="15.75" customHeight="1" x14ac:dyDescent="0.15"/>
    <row r="832" s="15" customFormat="1" ht="15.75" customHeight="1" x14ac:dyDescent="0.15"/>
    <row r="833" s="15" customFormat="1" ht="15.75" customHeight="1" x14ac:dyDescent="0.15"/>
    <row r="834" s="15" customFormat="1" ht="15.75" customHeight="1" x14ac:dyDescent="0.15"/>
    <row r="835" s="15" customFormat="1" ht="15.75" customHeight="1" x14ac:dyDescent="0.15"/>
    <row r="836" s="15" customFormat="1" ht="15.75" customHeight="1" x14ac:dyDescent="0.15"/>
    <row r="837" s="15" customFormat="1" ht="15.75" customHeight="1" x14ac:dyDescent="0.15"/>
    <row r="838" s="15" customFormat="1" ht="15.75" customHeight="1" x14ac:dyDescent="0.15"/>
    <row r="839" s="15" customFormat="1" ht="15.75" customHeight="1" x14ac:dyDescent="0.15"/>
    <row r="840" s="15" customFormat="1" ht="15.75" customHeight="1" x14ac:dyDescent="0.15"/>
    <row r="841" s="15" customFormat="1" ht="15.75" customHeight="1" x14ac:dyDescent="0.15"/>
    <row r="842" s="15" customFormat="1" ht="15.75" customHeight="1" x14ac:dyDescent="0.15"/>
    <row r="843" s="15" customFormat="1" ht="15.75" customHeight="1" x14ac:dyDescent="0.15"/>
    <row r="844" s="15" customFormat="1" ht="15.75" customHeight="1" x14ac:dyDescent="0.15"/>
    <row r="845" s="15" customFormat="1" ht="15.75" customHeight="1" x14ac:dyDescent="0.15"/>
    <row r="846" s="15" customFormat="1" ht="15.75" customHeight="1" x14ac:dyDescent="0.15"/>
    <row r="847" s="15" customFormat="1" ht="15.75" customHeight="1" x14ac:dyDescent="0.15"/>
    <row r="848" s="15" customFormat="1" ht="15.75" customHeight="1" x14ac:dyDescent="0.15"/>
    <row r="849" s="15" customFormat="1" ht="15.75" customHeight="1" x14ac:dyDescent="0.15"/>
    <row r="850" s="15" customFormat="1" ht="15.75" customHeight="1" x14ac:dyDescent="0.15"/>
    <row r="851" s="15" customFormat="1" ht="15.75" customHeight="1" x14ac:dyDescent="0.15"/>
    <row r="852" s="15" customFormat="1" ht="15.75" customHeight="1" x14ac:dyDescent="0.15"/>
    <row r="853" s="15" customFormat="1" ht="15.75" customHeight="1" x14ac:dyDescent="0.15"/>
    <row r="854" s="15" customFormat="1" ht="15.75" customHeight="1" x14ac:dyDescent="0.15"/>
    <row r="855" s="15" customFormat="1" ht="15.75" customHeight="1" x14ac:dyDescent="0.15"/>
    <row r="856" s="15" customFormat="1" ht="15.75" customHeight="1" x14ac:dyDescent="0.15"/>
    <row r="857" s="15" customFormat="1" ht="15.75" customHeight="1" x14ac:dyDescent="0.15"/>
    <row r="858" s="15" customFormat="1" ht="15.75" customHeight="1" x14ac:dyDescent="0.15"/>
    <row r="859" s="15" customFormat="1" ht="15.75" customHeight="1" x14ac:dyDescent="0.15"/>
    <row r="860" s="15" customFormat="1" ht="15.75" customHeight="1" x14ac:dyDescent="0.15"/>
    <row r="861" s="15" customFormat="1" ht="15.75" customHeight="1" x14ac:dyDescent="0.15"/>
    <row r="862" s="15" customFormat="1" ht="15.75" customHeight="1" x14ac:dyDescent="0.15"/>
    <row r="863" s="15" customFormat="1" ht="15.75" customHeight="1" x14ac:dyDescent="0.15"/>
    <row r="864" s="15" customFormat="1" ht="15.75" customHeight="1" x14ac:dyDescent="0.15"/>
    <row r="865" s="15" customFormat="1" ht="15.75" customHeight="1" x14ac:dyDescent="0.15"/>
    <row r="866" s="15" customFormat="1" ht="15.75" customHeight="1" x14ac:dyDescent="0.15"/>
    <row r="867" s="15" customFormat="1" ht="15.75" customHeight="1" x14ac:dyDescent="0.15"/>
    <row r="868" s="15" customFormat="1" ht="15.75" customHeight="1" x14ac:dyDescent="0.15"/>
    <row r="869" s="15" customFormat="1" ht="15.75" customHeight="1" x14ac:dyDescent="0.15"/>
    <row r="870" s="15" customFormat="1" ht="15.75" customHeight="1" x14ac:dyDescent="0.15"/>
    <row r="871" s="15" customFormat="1" ht="15.75" customHeight="1" x14ac:dyDescent="0.15"/>
    <row r="872" s="15" customFormat="1" ht="15.75" customHeight="1" x14ac:dyDescent="0.15"/>
    <row r="873" s="15" customFormat="1" ht="15.75" customHeight="1" x14ac:dyDescent="0.15"/>
    <row r="874" s="15" customFormat="1" ht="15.75" customHeight="1" x14ac:dyDescent="0.15"/>
    <row r="875" s="15" customFormat="1" ht="15.75" customHeight="1" x14ac:dyDescent="0.15"/>
    <row r="876" s="15" customFormat="1" ht="15.75" customHeight="1" x14ac:dyDescent="0.15"/>
    <row r="877" s="15" customFormat="1" ht="15.75" customHeight="1" x14ac:dyDescent="0.15"/>
    <row r="878" s="15" customFormat="1" ht="15.75" customHeight="1" x14ac:dyDescent="0.15"/>
    <row r="879" s="15" customFormat="1" ht="15.75" customHeight="1" x14ac:dyDescent="0.15"/>
    <row r="880" s="15" customFormat="1" ht="15.75" customHeight="1" x14ac:dyDescent="0.15"/>
    <row r="881" s="15" customFormat="1" ht="15.75" customHeight="1" x14ac:dyDescent="0.15"/>
    <row r="882" s="15" customFormat="1" ht="15.75" customHeight="1" x14ac:dyDescent="0.15"/>
    <row r="883" s="15" customFormat="1" ht="15.75" customHeight="1" x14ac:dyDescent="0.15"/>
    <row r="884" s="15" customFormat="1" ht="15.75" customHeight="1" x14ac:dyDescent="0.15"/>
    <row r="885" s="15" customFormat="1" ht="15.75" customHeight="1" x14ac:dyDescent="0.15"/>
    <row r="886" s="15" customFormat="1" ht="15.75" customHeight="1" x14ac:dyDescent="0.15"/>
    <row r="887" s="15" customFormat="1" ht="15.75" customHeight="1" x14ac:dyDescent="0.15"/>
    <row r="888" s="15" customFormat="1" ht="15.75" customHeight="1" x14ac:dyDescent="0.15"/>
    <row r="889" s="15" customFormat="1" ht="15.75" customHeight="1" x14ac:dyDescent="0.15"/>
    <row r="890" s="15" customFormat="1" ht="15.75" customHeight="1" x14ac:dyDescent="0.15"/>
    <row r="891" s="15" customFormat="1" ht="15.75" customHeight="1" x14ac:dyDescent="0.15"/>
    <row r="892" s="15" customFormat="1" ht="15.75" customHeight="1" x14ac:dyDescent="0.15"/>
    <row r="893" s="15" customFormat="1" ht="15.75" customHeight="1" x14ac:dyDescent="0.15"/>
    <row r="894" s="15" customFormat="1" ht="15.75" customHeight="1" x14ac:dyDescent="0.15"/>
    <row r="895" s="15" customFormat="1" ht="15.75" customHeight="1" x14ac:dyDescent="0.15"/>
    <row r="896" s="15" customFormat="1" ht="15.75" customHeight="1" x14ac:dyDescent="0.15"/>
    <row r="897" s="15" customFormat="1" ht="15.75" customHeight="1" x14ac:dyDescent="0.15"/>
    <row r="898" s="15" customFormat="1" ht="15.75" customHeight="1" x14ac:dyDescent="0.15"/>
    <row r="899" s="15" customFormat="1" ht="15.75" customHeight="1" x14ac:dyDescent="0.15"/>
    <row r="900" s="15" customFormat="1" ht="15.75" customHeight="1" x14ac:dyDescent="0.15"/>
    <row r="901" s="15" customFormat="1" ht="15.75" customHeight="1" x14ac:dyDescent="0.15"/>
    <row r="902" s="15" customFormat="1" ht="15.75" customHeight="1" x14ac:dyDescent="0.15"/>
    <row r="903" s="15" customFormat="1" ht="15.75" customHeight="1" x14ac:dyDescent="0.15"/>
    <row r="904" s="15" customFormat="1" ht="15.75" customHeight="1" x14ac:dyDescent="0.15"/>
    <row r="905" s="15" customFormat="1" ht="15.75" customHeight="1" x14ac:dyDescent="0.15"/>
    <row r="906" s="15" customFormat="1" ht="15.75" customHeight="1" x14ac:dyDescent="0.15"/>
    <row r="907" s="15" customFormat="1" ht="15.75" customHeight="1" x14ac:dyDescent="0.15"/>
    <row r="908" s="15" customFormat="1" ht="15.75" customHeight="1" x14ac:dyDescent="0.15"/>
    <row r="909" s="15" customFormat="1" ht="15.75" customHeight="1" x14ac:dyDescent="0.15"/>
    <row r="910" s="15" customFormat="1" ht="15.75" customHeight="1" x14ac:dyDescent="0.15"/>
    <row r="911" s="15" customFormat="1" ht="15.75" customHeight="1" x14ac:dyDescent="0.15"/>
    <row r="912" s="15" customFormat="1" ht="15.75" customHeight="1" x14ac:dyDescent="0.15"/>
    <row r="913" s="15" customFormat="1" ht="15.75" customHeight="1" x14ac:dyDescent="0.15"/>
    <row r="914" s="15" customFormat="1" ht="15.75" customHeight="1" x14ac:dyDescent="0.15"/>
    <row r="915" s="15" customFormat="1" ht="15.75" customHeight="1" x14ac:dyDescent="0.15"/>
    <row r="916" s="15" customFormat="1" ht="15.75" customHeight="1" x14ac:dyDescent="0.15"/>
    <row r="917" s="15" customFormat="1" ht="15.75" customHeight="1" x14ac:dyDescent="0.15"/>
    <row r="918" s="15" customFormat="1" ht="15.75" customHeight="1" x14ac:dyDescent="0.15"/>
    <row r="919" s="15" customFormat="1" ht="15.75" customHeight="1" x14ac:dyDescent="0.15"/>
    <row r="920" s="15" customFormat="1" ht="15.75" customHeight="1" x14ac:dyDescent="0.15"/>
    <row r="921" s="15" customFormat="1" ht="15.75" customHeight="1" x14ac:dyDescent="0.15"/>
    <row r="922" s="15" customFormat="1" ht="15.75" customHeight="1" x14ac:dyDescent="0.15"/>
    <row r="923" s="15" customFormat="1" ht="15.75" customHeight="1" x14ac:dyDescent="0.15"/>
    <row r="924" s="15" customFormat="1" ht="15.75" customHeight="1" x14ac:dyDescent="0.15"/>
    <row r="925" s="15" customFormat="1" ht="15.75" customHeight="1" x14ac:dyDescent="0.15"/>
    <row r="926" s="15" customFormat="1" ht="15.75" customHeight="1" x14ac:dyDescent="0.15"/>
    <row r="927" s="15" customFormat="1" ht="15.75" customHeight="1" x14ac:dyDescent="0.15"/>
    <row r="928" s="15" customFormat="1" ht="15.75" customHeight="1" x14ac:dyDescent="0.15"/>
    <row r="929" s="15" customFormat="1" ht="15.75" customHeight="1" x14ac:dyDescent="0.15"/>
    <row r="930" s="15" customFormat="1" ht="15.75" customHeight="1" x14ac:dyDescent="0.15"/>
    <row r="931" s="15" customFormat="1" ht="15.75" customHeight="1" x14ac:dyDescent="0.15"/>
    <row r="932" s="15" customFormat="1" ht="15.75" customHeight="1" x14ac:dyDescent="0.15"/>
    <row r="933" s="15" customFormat="1" ht="15.75" customHeight="1" x14ac:dyDescent="0.15"/>
    <row r="934" s="15" customFormat="1" ht="15.75" customHeight="1" x14ac:dyDescent="0.15"/>
    <row r="935" s="15" customFormat="1" ht="15.75" customHeight="1" x14ac:dyDescent="0.15"/>
    <row r="936" s="15" customFormat="1" ht="15.75" customHeight="1" x14ac:dyDescent="0.15"/>
    <row r="937" s="15" customFormat="1" ht="15.75" customHeight="1" x14ac:dyDescent="0.15"/>
    <row r="938" s="15" customFormat="1" ht="15.75" customHeight="1" x14ac:dyDescent="0.15"/>
    <row r="939" s="15" customFormat="1" ht="15.75" customHeight="1" x14ac:dyDescent="0.15"/>
    <row r="940" s="15" customFormat="1" ht="15.75" customHeight="1" x14ac:dyDescent="0.15"/>
    <row r="941" s="15" customFormat="1" ht="15.75" customHeight="1" x14ac:dyDescent="0.15"/>
    <row r="942" s="15" customFormat="1" ht="15.75" customHeight="1" x14ac:dyDescent="0.15"/>
    <row r="943" s="15" customFormat="1" ht="15.75" customHeight="1" x14ac:dyDescent="0.15"/>
    <row r="944" s="15" customFormat="1" ht="15.75" customHeight="1" x14ac:dyDescent="0.15"/>
    <row r="945" s="15" customFormat="1" ht="15.75" customHeight="1" x14ac:dyDescent="0.15"/>
    <row r="946" s="15" customFormat="1" ht="15.75" customHeight="1" x14ac:dyDescent="0.15"/>
    <row r="947" s="15" customFormat="1" ht="15.75" customHeight="1" x14ac:dyDescent="0.15"/>
    <row r="948" s="15" customFormat="1" ht="15.75" customHeight="1" x14ac:dyDescent="0.15"/>
    <row r="949" s="15" customFormat="1" ht="15.75" customHeight="1" x14ac:dyDescent="0.15"/>
    <row r="950" s="15" customFormat="1" ht="15.75" customHeight="1" x14ac:dyDescent="0.15"/>
    <row r="951" s="15" customFormat="1" ht="15.75" customHeight="1" x14ac:dyDescent="0.15"/>
    <row r="952" s="15" customFormat="1" ht="15.75" customHeight="1" x14ac:dyDescent="0.15"/>
    <row r="953" s="15" customFormat="1" ht="15.75" customHeight="1" x14ac:dyDescent="0.15"/>
    <row r="954" s="15" customFormat="1" ht="15.75" customHeight="1" x14ac:dyDescent="0.15"/>
    <row r="955" s="15" customFormat="1" ht="15.75" customHeight="1" x14ac:dyDescent="0.15"/>
    <row r="956" s="15" customFormat="1" ht="15.75" customHeight="1" x14ac:dyDescent="0.15"/>
    <row r="957" s="15" customFormat="1" ht="15.75" customHeight="1" x14ac:dyDescent="0.15"/>
    <row r="958" s="15" customFormat="1" ht="15.75" customHeight="1" x14ac:dyDescent="0.15"/>
    <row r="959" s="15" customFormat="1" ht="15.75" customHeight="1" x14ac:dyDescent="0.15"/>
    <row r="960" s="15" customFormat="1" ht="15.75" customHeight="1" x14ac:dyDescent="0.15"/>
    <row r="961" s="15" customFormat="1" ht="15.75" customHeight="1" x14ac:dyDescent="0.15"/>
    <row r="962" s="15" customFormat="1" ht="15.75" customHeight="1" x14ac:dyDescent="0.15"/>
    <row r="963" s="15" customFormat="1" ht="15.75" customHeight="1" x14ac:dyDescent="0.15"/>
    <row r="964" s="15" customFormat="1" ht="15.75" customHeight="1" x14ac:dyDescent="0.15"/>
    <row r="965" s="15" customFormat="1" ht="15.75" customHeight="1" x14ac:dyDescent="0.15"/>
    <row r="966" s="15" customFormat="1" ht="15.75" customHeight="1" x14ac:dyDescent="0.15"/>
    <row r="967" s="15" customFormat="1" ht="15.75" customHeight="1" x14ac:dyDescent="0.15"/>
    <row r="968" s="15" customFormat="1" ht="15.75" customHeight="1" x14ac:dyDescent="0.15"/>
    <row r="969" s="15" customFormat="1" ht="15.75" customHeight="1" x14ac:dyDescent="0.15"/>
    <row r="970" s="15" customFormat="1" ht="15.75" customHeight="1" x14ac:dyDescent="0.15"/>
    <row r="971" s="15" customFormat="1" ht="15.75" customHeight="1" x14ac:dyDescent="0.15"/>
    <row r="972" s="15" customFormat="1" ht="15.75" customHeight="1" x14ac:dyDescent="0.15"/>
    <row r="973" s="15" customFormat="1" ht="15.75" customHeight="1" x14ac:dyDescent="0.15"/>
    <row r="974" s="15" customFormat="1" ht="15.75" customHeight="1" x14ac:dyDescent="0.15"/>
    <row r="975" s="15" customFormat="1" ht="15.75" customHeight="1" x14ac:dyDescent="0.15"/>
    <row r="976" s="15" customFormat="1" ht="15.75" customHeight="1" x14ac:dyDescent="0.15"/>
    <row r="977" s="15" customFormat="1" ht="15.75" customHeight="1" x14ac:dyDescent="0.15"/>
    <row r="978" s="15" customFormat="1" ht="15.75" customHeight="1" x14ac:dyDescent="0.15"/>
    <row r="979" s="15" customFormat="1" ht="15.75" customHeight="1" x14ac:dyDescent="0.15"/>
    <row r="980" s="15" customFormat="1" ht="15.75" customHeight="1" x14ac:dyDescent="0.15"/>
    <row r="981" s="15" customFormat="1" ht="15.75" customHeight="1" x14ac:dyDescent="0.15"/>
    <row r="982" s="15" customFormat="1" ht="15.75" customHeight="1" x14ac:dyDescent="0.15"/>
    <row r="983" s="15" customFormat="1" ht="15.75" customHeight="1" x14ac:dyDescent="0.15"/>
    <row r="984" s="15" customFormat="1" ht="15.75" customHeight="1" x14ac:dyDescent="0.15"/>
    <row r="985" s="15" customFormat="1" ht="15.75" customHeight="1" x14ac:dyDescent="0.15"/>
    <row r="986" s="15" customFormat="1" ht="15.75" customHeight="1" x14ac:dyDescent="0.15"/>
    <row r="987" s="15" customFormat="1" ht="15.75" customHeight="1" x14ac:dyDescent="0.15"/>
    <row r="988" s="15" customFormat="1" ht="15.75" customHeight="1" x14ac:dyDescent="0.15"/>
    <row r="989" s="15" customFormat="1" ht="15.75" customHeight="1" x14ac:dyDescent="0.15"/>
    <row r="990" s="15" customFormat="1" ht="15.75" customHeight="1" x14ac:dyDescent="0.15"/>
    <row r="991" s="15" customFormat="1" ht="15.75" customHeight="1" x14ac:dyDescent="0.15"/>
    <row r="992" s="15" customFormat="1" ht="15.75" customHeight="1" x14ac:dyDescent="0.15"/>
    <row r="993" s="15" customFormat="1" ht="15.75" customHeight="1" x14ac:dyDescent="0.15"/>
    <row r="994" s="15" customFormat="1" ht="15.75" customHeight="1" x14ac:dyDescent="0.15"/>
    <row r="995" s="15" customFormat="1" ht="15.75" customHeight="1" x14ac:dyDescent="0.15"/>
    <row r="996" s="15" customFormat="1" ht="15.75" customHeight="1" x14ac:dyDescent="0.15"/>
    <row r="997" s="15" customFormat="1" ht="15.75" customHeight="1" x14ac:dyDescent="0.15"/>
    <row r="998" s="15" customFormat="1" ht="15.75" customHeight="1" x14ac:dyDescent="0.15"/>
    <row r="999" s="15" customFormat="1" ht="15.75" customHeight="1" x14ac:dyDescent="0.15"/>
    <row r="1000" s="15" customFormat="1" ht="15.75" customHeight="1" x14ac:dyDescent="0.15"/>
    <row r="1001" s="15" customFormat="1" ht="15.75" customHeight="1" x14ac:dyDescent="0.15"/>
    <row r="1002" s="15" customFormat="1" ht="15.75" customHeight="1" x14ac:dyDescent="0.15"/>
  </sheetData>
  <mergeCells count="14">
    <mergeCell ref="J3:K3"/>
    <mergeCell ref="A1:E1"/>
    <mergeCell ref="F1:I1"/>
    <mergeCell ref="B3:C3"/>
    <mergeCell ref="D3:E3"/>
    <mergeCell ref="F3:G3"/>
    <mergeCell ref="H3:I3"/>
    <mergeCell ref="T3:U3"/>
    <mergeCell ref="V3:W3"/>
    <mergeCell ref="X3:Y3"/>
    <mergeCell ref="L3:M3"/>
    <mergeCell ref="N3:O3"/>
    <mergeCell ref="P3:Q3"/>
    <mergeCell ref="R3:S3"/>
  </mergeCells>
  <printOptions horizontalCentered="1" gridLines="1"/>
  <pageMargins left="0.7" right="0.7" top="0.75" bottom="0.75" header="0" footer="0"/>
  <pageSetup fitToHeight="0" pageOrder="overThenDown" orientation="landscape" cellComments="atEnd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0"/>
  <sheetViews>
    <sheetView showGridLines="0" workbookViewId="0">
      <selection activeCell="H25" sqref="H25"/>
    </sheetView>
  </sheetViews>
  <sheetFormatPr baseColWidth="10" defaultColWidth="14.5" defaultRowHeight="15" customHeight="1" x14ac:dyDescent="0.15"/>
  <cols>
    <col min="1" max="1" width="24.5" style="5" customWidth="1"/>
    <col min="2" max="2" width="11.5" style="5" customWidth="1"/>
    <col min="3" max="3" width="18.5" style="5" customWidth="1"/>
    <col min="4" max="4" width="12.6640625" style="5" customWidth="1"/>
    <col min="5" max="5" width="20.5" style="5" customWidth="1"/>
    <col min="6" max="6" width="18.1640625" style="5" customWidth="1"/>
    <col min="7" max="10" width="15.6640625" style="5" customWidth="1"/>
    <col min="11" max="11" width="17.1640625" style="5" customWidth="1"/>
    <col min="12" max="12" width="11.1640625" style="5" customWidth="1"/>
    <col min="13" max="13" width="20.6640625" style="5" customWidth="1"/>
    <col min="14" max="16384" width="14.5" style="5"/>
  </cols>
  <sheetData>
    <row r="1" spans="1:13" s="97" customFormat="1" ht="28.5" customHeight="1" thickTop="1" x14ac:dyDescent="0.15">
      <c r="A1" s="138" t="str">
        <f>'Gross Pat. Count'!A1</f>
        <v>HOOVER</v>
      </c>
      <c r="B1" s="139"/>
      <c r="C1" s="139"/>
      <c r="D1" s="139"/>
      <c r="E1" s="93"/>
      <c r="F1" s="93"/>
      <c r="G1" s="94"/>
      <c r="H1" s="95"/>
      <c r="I1" s="140" t="str">
        <f>PROPER('Gross Pat. Count'!$F$1)</f>
        <v>45717</v>
      </c>
      <c r="J1" s="141"/>
      <c r="K1" s="141"/>
      <c r="L1" s="94"/>
      <c r="M1" s="96"/>
    </row>
    <row r="2" spans="1:13" s="97" customFormat="1" ht="21.75" customHeight="1" thickBot="1" x14ac:dyDescent="0.2">
      <c r="A2" s="6"/>
      <c r="B2" s="7"/>
      <c r="C2" s="8" t="s">
        <v>17</v>
      </c>
      <c r="D2" s="8" t="s">
        <v>18</v>
      </c>
      <c r="E2" s="8" t="s">
        <v>19</v>
      </c>
      <c r="F2" s="9" t="s">
        <v>20</v>
      </c>
      <c r="G2" s="10" t="s">
        <v>21</v>
      </c>
      <c r="H2" s="11" t="s">
        <v>45</v>
      </c>
      <c r="I2" s="8" t="s">
        <v>22</v>
      </c>
      <c r="J2" s="8" t="s">
        <v>23</v>
      </c>
      <c r="K2" s="8" t="s">
        <v>24</v>
      </c>
      <c r="L2" s="8" t="s">
        <v>25</v>
      </c>
      <c r="M2" s="12" t="s">
        <v>26</v>
      </c>
    </row>
    <row r="3" spans="1:13" ht="30.75" customHeight="1" thickTop="1" thickBot="1" x14ac:dyDescent="0.2">
      <c r="A3" s="61"/>
      <c r="B3" s="62" t="s">
        <v>27</v>
      </c>
      <c r="C3" s="63">
        <f t="shared" ref="C3:L3" si="0">SUM(C4:C21)</f>
        <v>159.9</v>
      </c>
      <c r="D3" s="63">
        <f t="shared" si="0"/>
        <v>138</v>
      </c>
      <c r="E3" s="63">
        <f t="shared" si="0"/>
        <v>150</v>
      </c>
      <c r="F3" s="63">
        <f t="shared" si="0"/>
        <v>299</v>
      </c>
      <c r="G3" s="63">
        <f t="shared" si="0"/>
        <v>1050</v>
      </c>
      <c r="H3" s="63">
        <v>100</v>
      </c>
      <c r="I3" s="63">
        <f t="shared" si="0"/>
        <v>0</v>
      </c>
      <c r="J3" s="63">
        <f t="shared" si="0"/>
        <v>0</v>
      </c>
      <c r="K3" s="63">
        <f t="shared" si="0"/>
        <v>0</v>
      </c>
      <c r="L3" s="63">
        <f t="shared" si="0"/>
        <v>0</v>
      </c>
      <c r="M3" s="64">
        <v>1896.9</v>
      </c>
    </row>
    <row r="4" spans="1:13" ht="24.75" customHeight="1" thickTop="1" thickBot="1" x14ac:dyDescent="0.2">
      <c r="A4" s="65">
        <v>45717</v>
      </c>
      <c r="B4" s="66" t="s">
        <v>9</v>
      </c>
      <c r="C4" s="67">
        <v>0</v>
      </c>
      <c r="D4" s="67">
        <v>0</v>
      </c>
      <c r="E4" s="67">
        <v>0</v>
      </c>
      <c r="F4" s="67">
        <v>0</v>
      </c>
      <c r="G4" s="67">
        <v>0</v>
      </c>
      <c r="H4" s="67">
        <v>0</v>
      </c>
      <c r="I4" s="67">
        <v>0</v>
      </c>
      <c r="J4" s="67">
        <v>0</v>
      </c>
      <c r="K4" s="67">
        <v>0</v>
      </c>
      <c r="L4" s="67">
        <v>0</v>
      </c>
      <c r="M4" s="68">
        <f t="shared" ref="M4:M21" si="1">C4+D4+E4+F4+G4+I4+J4+K4+L4</f>
        <v>0</v>
      </c>
    </row>
    <row r="5" spans="1:13" ht="24.75" customHeight="1" thickTop="1" thickBot="1" x14ac:dyDescent="0.2">
      <c r="A5" s="69">
        <f>'Gross Pat. Count'!A6</f>
        <v>46086</v>
      </c>
      <c r="B5" s="70" t="s">
        <v>9</v>
      </c>
      <c r="C5" s="71">
        <v>0</v>
      </c>
      <c r="D5" s="71">
        <v>0</v>
      </c>
      <c r="E5" s="71">
        <v>0</v>
      </c>
      <c r="F5" s="71">
        <v>0</v>
      </c>
      <c r="G5" s="71">
        <v>0</v>
      </c>
      <c r="H5" s="71">
        <v>0</v>
      </c>
      <c r="I5" s="71">
        <v>0</v>
      </c>
      <c r="J5" s="71">
        <v>0</v>
      </c>
      <c r="K5" s="71">
        <v>0</v>
      </c>
      <c r="L5" s="71">
        <v>0</v>
      </c>
      <c r="M5" s="64">
        <f t="shared" si="1"/>
        <v>0</v>
      </c>
    </row>
    <row r="6" spans="1:13" ht="22.5" customHeight="1" thickTop="1" thickBot="1" x14ac:dyDescent="0.2">
      <c r="A6" s="72">
        <v>45696</v>
      </c>
      <c r="B6" s="73" t="s">
        <v>9</v>
      </c>
      <c r="C6" s="67">
        <v>0</v>
      </c>
      <c r="D6" s="67">
        <v>0</v>
      </c>
      <c r="E6" s="67">
        <v>0</v>
      </c>
      <c r="F6" s="67">
        <v>0</v>
      </c>
      <c r="G6" s="67">
        <v>0</v>
      </c>
      <c r="H6" s="67">
        <v>0</v>
      </c>
      <c r="I6" s="67">
        <v>0</v>
      </c>
      <c r="J6" s="67">
        <v>0</v>
      </c>
      <c r="K6" s="67">
        <v>0</v>
      </c>
      <c r="L6" s="67">
        <v>0</v>
      </c>
      <c r="M6" s="68">
        <f t="shared" si="1"/>
        <v>0</v>
      </c>
    </row>
    <row r="7" spans="1:13" ht="22.5" customHeight="1" thickTop="1" thickBot="1" x14ac:dyDescent="0.2">
      <c r="A7" s="72">
        <v>45700</v>
      </c>
      <c r="B7" s="70" t="s">
        <v>9</v>
      </c>
      <c r="C7" s="71">
        <v>0</v>
      </c>
      <c r="D7" s="71">
        <v>0</v>
      </c>
      <c r="E7" s="71">
        <v>0</v>
      </c>
      <c r="F7" s="71">
        <v>0</v>
      </c>
      <c r="G7" s="71">
        <v>0</v>
      </c>
      <c r="H7" s="71">
        <v>0</v>
      </c>
      <c r="I7" s="71">
        <v>0</v>
      </c>
      <c r="J7" s="71">
        <v>0</v>
      </c>
      <c r="K7" s="71">
        <v>0</v>
      </c>
      <c r="L7" s="71">
        <v>0</v>
      </c>
      <c r="M7" s="64">
        <f t="shared" si="1"/>
        <v>0</v>
      </c>
    </row>
    <row r="8" spans="1:13" ht="22.5" customHeight="1" thickTop="1" thickBot="1" x14ac:dyDescent="0.2">
      <c r="A8" s="72">
        <f>'Gross Pat. Count'!A9</f>
        <v>46093</v>
      </c>
      <c r="B8" s="73" t="s">
        <v>9</v>
      </c>
      <c r="C8" s="67">
        <v>0</v>
      </c>
      <c r="D8" s="67">
        <v>0</v>
      </c>
      <c r="E8" s="67">
        <v>0</v>
      </c>
      <c r="F8" s="67">
        <v>0</v>
      </c>
      <c r="G8" s="67">
        <v>0</v>
      </c>
      <c r="H8" s="67">
        <v>0</v>
      </c>
      <c r="I8" s="67">
        <v>0</v>
      </c>
      <c r="J8" s="67">
        <v>0</v>
      </c>
      <c r="K8" s="67">
        <v>0</v>
      </c>
      <c r="L8" s="67">
        <v>0</v>
      </c>
      <c r="M8" s="68">
        <f t="shared" si="1"/>
        <v>0</v>
      </c>
    </row>
    <row r="9" spans="1:13" ht="22.5" customHeight="1" thickTop="1" thickBot="1" x14ac:dyDescent="0.2">
      <c r="A9" s="69">
        <f>'Gross Pat. Count'!A10</f>
        <v>46095</v>
      </c>
      <c r="B9" s="70" t="s">
        <v>9</v>
      </c>
      <c r="C9" s="71">
        <v>0</v>
      </c>
      <c r="D9" s="71">
        <v>0</v>
      </c>
      <c r="E9" s="71">
        <v>0</v>
      </c>
      <c r="F9" s="71">
        <v>0</v>
      </c>
      <c r="G9" s="71">
        <v>0</v>
      </c>
      <c r="H9" s="71">
        <v>0</v>
      </c>
      <c r="I9" s="71">
        <v>0</v>
      </c>
      <c r="J9" s="71">
        <v>0</v>
      </c>
      <c r="K9" s="71">
        <v>0</v>
      </c>
      <c r="L9" s="71">
        <v>0</v>
      </c>
      <c r="M9" s="64">
        <f t="shared" si="1"/>
        <v>0</v>
      </c>
    </row>
    <row r="10" spans="1:13" ht="22.5" customHeight="1" thickTop="1" thickBot="1" x14ac:dyDescent="0.2">
      <c r="A10" s="72">
        <f>'Gross Pat. Count'!A11</f>
        <v>46099</v>
      </c>
      <c r="B10" s="73" t="s">
        <v>9</v>
      </c>
      <c r="C10" s="67">
        <v>0</v>
      </c>
      <c r="D10" s="67">
        <v>0</v>
      </c>
      <c r="E10" s="67">
        <v>0</v>
      </c>
      <c r="F10" s="67">
        <v>0</v>
      </c>
      <c r="G10" s="67">
        <v>0</v>
      </c>
      <c r="H10" s="67">
        <v>0</v>
      </c>
      <c r="I10" s="67">
        <v>0</v>
      </c>
      <c r="J10" s="67">
        <v>0</v>
      </c>
      <c r="K10" s="67">
        <v>0</v>
      </c>
      <c r="L10" s="67">
        <v>0</v>
      </c>
      <c r="M10" s="68">
        <f t="shared" si="1"/>
        <v>0</v>
      </c>
    </row>
    <row r="11" spans="1:13" ht="22.5" customHeight="1" thickTop="1" thickBot="1" x14ac:dyDescent="0.2">
      <c r="A11" s="69">
        <f>'Gross Pat. Count'!A12</f>
        <v>46100</v>
      </c>
      <c r="B11" s="70" t="s">
        <v>9</v>
      </c>
      <c r="C11" s="71">
        <v>0</v>
      </c>
      <c r="D11" s="71">
        <v>0</v>
      </c>
      <c r="E11" s="71">
        <v>0</v>
      </c>
      <c r="F11" s="71">
        <v>0</v>
      </c>
      <c r="G11" s="71">
        <v>0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64">
        <f t="shared" si="1"/>
        <v>0</v>
      </c>
    </row>
    <row r="12" spans="1:13" ht="22.5" customHeight="1" thickTop="1" thickBot="1" x14ac:dyDescent="0.2">
      <c r="A12" s="72">
        <f>'Gross Pat. Count'!A13</f>
        <v>46102</v>
      </c>
      <c r="B12" s="73" t="s">
        <v>9</v>
      </c>
      <c r="C12" s="67">
        <v>0</v>
      </c>
      <c r="D12" s="67">
        <v>0</v>
      </c>
      <c r="E12" s="67">
        <v>0</v>
      </c>
      <c r="F12" s="67">
        <v>0</v>
      </c>
      <c r="G12" s="67">
        <v>0</v>
      </c>
      <c r="H12" s="67">
        <v>0</v>
      </c>
      <c r="I12" s="67">
        <v>0</v>
      </c>
      <c r="J12" s="67">
        <v>0</v>
      </c>
      <c r="K12" s="67">
        <v>0</v>
      </c>
      <c r="L12" s="67">
        <v>0</v>
      </c>
      <c r="M12" s="68">
        <f t="shared" si="1"/>
        <v>0</v>
      </c>
    </row>
    <row r="13" spans="1:13" ht="22.5" customHeight="1" thickTop="1" thickBot="1" x14ac:dyDescent="0.2">
      <c r="A13" s="69">
        <v>45737</v>
      </c>
      <c r="B13" s="70" t="s">
        <v>9</v>
      </c>
      <c r="C13" s="71">
        <v>0</v>
      </c>
      <c r="D13" s="71">
        <v>0</v>
      </c>
      <c r="E13" s="71">
        <v>0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64">
        <f t="shared" si="1"/>
        <v>0</v>
      </c>
    </row>
    <row r="14" spans="1:13" ht="22.5" customHeight="1" thickTop="1" thickBot="1" x14ac:dyDescent="0.2">
      <c r="A14" s="72">
        <f>'Gross Pat. Count'!A15</f>
        <v>46107</v>
      </c>
      <c r="B14" s="73" t="s">
        <v>9</v>
      </c>
      <c r="C14" s="67">
        <v>0</v>
      </c>
      <c r="D14" s="67">
        <v>0</v>
      </c>
      <c r="E14" s="67">
        <v>0</v>
      </c>
      <c r="F14" s="67">
        <v>0</v>
      </c>
      <c r="G14" s="67">
        <v>0</v>
      </c>
      <c r="H14" s="67">
        <v>0</v>
      </c>
      <c r="I14" s="67">
        <v>0</v>
      </c>
      <c r="J14" s="67">
        <v>0</v>
      </c>
      <c r="K14" s="67">
        <v>0</v>
      </c>
      <c r="L14" s="67">
        <v>0</v>
      </c>
      <c r="M14" s="68">
        <f t="shared" si="1"/>
        <v>0</v>
      </c>
    </row>
    <row r="15" spans="1:13" ht="22.5" customHeight="1" thickTop="1" thickBot="1" x14ac:dyDescent="0.2">
      <c r="A15" s="72">
        <f>'Gross Pat. Count'!A16</f>
        <v>46109</v>
      </c>
      <c r="B15" s="74" t="s">
        <v>9</v>
      </c>
      <c r="C15" s="71">
        <v>0</v>
      </c>
      <c r="D15" s="71">
        <v>0</v>
      </c>
      <c r="E15" s="71">
        <v>0</v>
      </c>
      <c r="F15" s="71">
        <v>0</v>
      </c>
      <c r="G15" s="71">
        <v>0</v>
      </c>
      <c r="H15" s="71">
        <v>0</v>
      </c>
      <c r="I15" s="71">
        <v>0</v>
      </c>
      <c r="J15" s="71">
        <v>0</v>
      </c>
      <c r="K15" s="71">
        <v>0</v>
      </c>
      <c r="L15" s="71">
        <v>0</v>
      </c>
      <c r="M15" s="64">
        <f t="shared" si="1"/>
        <v>0</v>
      </c>
    </row>
    <row r="16" spans="1:13" ht="22.5" customHeight="1" thickTop="1" thickBot="1" x14ac:dyDescent="0.2">
      <c r="A16" s="75">
        <f>'Gross Pat. Count'!A17</f>
        <v>46112</v>
      </c>
      <c r="B16" s="66" t="s">
        <v>9</v>
      </c>
      <c r="C16" s="67">
        <v>159.9</v>
      </c>
      <c r="D16" s="67">
        <v>138</v>
      </c>
      <c r="E16" s="67">
        <v>150</v>
      </c>
      <c r="F16" s="67">
        <v>299</v>
      </c>
      <c r="G16" s="67">
        <v>1050</v>
      </c>
      <c r="H16" s="67">
        <v>100</v>
      </c>
      <c r="I16" s="67">
        <v>0</v>
      </c>
      <c r="J16" s="67">
        <v>0</v>
      </c>
      <c r="K16" s="67">
        <v>0</v>
      </c>
      <c r="L16" s="67">
        <v>0</v>
      </c>
      <c r="M16" s="68">
        <v>1896.9</v>
      </c>
    </row>
    <row r="17" spans="1:13" ht="22.5" customHeight="1" thickTop="1" thickBot="1" x14ac:dyDescent="0.2">
      <c r="A17" s="76">
        <f>'Gross Pat. Count'!A18</f>
        <v>0</v>
      </c>
      <c r="B17" s="74" t="s">
        <v>9</v>
      </c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64">
        <f t="shared" si="1"/>
        <v>0</v>
      </c>
    </row>
    <row r="18" spans="1:13" ht="22.5" customHeight="1" thickTop="1" thickBot="1" x14ac:dyDescent="0.2">
      <c r="A18" s="75">
        <f>'Gross Pat. Count'!A19</f>
        <v>0</v>
      </c>
      <c r="B18" s="66" t="s">
        <v>9</v>
      </c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8">
        <f t="shared" si="1"/>
        <v>0</v>
      </c>
    </row>
    <row r="19" spans="1:13" ht="22.5" customHeight="1" thickTop="1" thickBot="1" x14ac:dyDescent="0.2">
      <c r="A19" s="76">
        <f>'Gross Pat. Count'!A20</f>
        <v>0</v>
      </c>
      <c r="B19" s="74" t="s">
        <v>9</v>
      </c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64">
        <f t="shared" si="1"/>
        <v>0</v>
      </c>
    </row>
    <row r="20" spans="1:13" ht="22.5" customHeight="1" thickTop="1" thickBot="1" x14ac:dyDescent="0.2">
      <c r="A20" s="75">
        <f>'Gross Pat. Count'!A21</f>
        <v>0</v>
      </c>
      <c r="B20" s="66" t="s">
        <v>9</v>
      </c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8">
        <f t="shared" si="1"/>
        <v>0</v>
      </c>
    </row>
    <row r="21" spans="1:13" ht="22.5" customHeight="1" thickTop="1" thickBot="1" x14ac:dyDescent="0.2">
      <c r="A21" s="76">
        <f>'Gross Pat. Count'!A22</f>
        <v>0</v>
      </c>
      <c r="B21" s="74" t="s">
        <v>9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64">
        <f t="shared" si="1"/>
        <v>0</v>
      </c>
    </row>
    <row r="22" spans="1:13" ht="15.75" customHeight="1" thickTop="1" x14ac:dyDescent="0.15"/>
    <row r="23" spans="1:13" ht="15.75" customHeight="1" x14ac:dyDescent="0.15"/>
    <row r="24" spans="1:13" ht="15.75" customHeight="1" x14ac:dyDescent="0.15"/>
    <row r="25" spans="1:13" ht="15.75" customHeight="1" x14ac:dyDescent="0.15"/>
    <row r="26" spans="1:13" ht="15.75" customHeight="1" x14ac:dyDescent="0.15"/>
    <row r="27" spans="1:13" ht="15.75" customHeight="1" x14ac:dyDescent="0.15"/>
    <row r="28" spans="1:13" ht="15.75" customHeight="1" x14ac:dyDescent="0.15"/>
    <row r="29" spans="1:13" ht="15.75" customHeight="1" x14ac:dyDescent="0.15"/>
    <row r="30" spans="1:13" ht="15.75" customHeight="1" x14ac:dyDescent="0.15"/>
    <row r="31" spans="1:13" ht="15.75" customHeight="1" x14ac:dyDescent="0.15"/>
    <row r="32" spans="1:13" ht="15.75" customHeight="1" x14ac:dyDescent="0.15"/>
    <row r="33" s="5" customFormat="1" ht="15.75" customHeight="1" x14ac:dyDescent="0.15"/>
    <row r="34" s="5" customFormat="1" ht="15.75" customHeight="1" x14ac:dyDescent="0.15"/>
    <row r="35" s="5" customFormat="1" ht="15.75" customHeight="1" x14ac:dyDescent="0.15"/>
    <row r="36" s="5" customFormat="1" ht="15.75" customHeight="1" x14ac:dyDescent="0.15"/>
    <row r="37" s="5" customFormat="1" ht="15.75" customHeight="1" x14ac:dyDescent="0.15"/>
    <row r="38" s="5" customFormat="1" ht="15.75" customHeight="1" x14ac:dyDescent="0.15"/>
    <row r="39" s="5" customFormat="1" ht="15.75" customHeight="1" x14ac:dyDescent="0.15"/>
    <row r="40" s="5" customFormat="1" ht="15.75" customHeight="1" x14ac:dyDescent="0.15"/>
    <row r="41" s="5" customFormat="1" ht="15.75" customHeight="1" x14ac:dyDescent="0.15"/>
    <row r="42" s="5" customFormat="1" ht="15.75" customHeight="1" x14ac:dyDescent="0.15"/>
    <row r="43" s="5" customFormat="1" ht="15.75" customHeight="1" x14ac:dyDescent="0.15"/>
    <row r="44" s="5" customFormat="1" ht="15.75" customHeight="1" x14ac:dyDescent="0.15"/>
    <row r="45" s="5" customFormat="1" ht="15.75" customHeight="1" x14ac:dyDescent="0.15"/>
    <row r="46" s="5" customFormat="1" ht="15.75" customHeight="1" x14ac:dyDescent="0.15"/>
    <row r="47" s="5" customFormat="1" ht="15.75" customHeight="1" x14ac:dyDescent="0.15"/>
    <row r="48" s="5" customFormat="1" ht="15.75" customHeight="1" x14ac:dyDescent="0.15"/>
    <row r="49" s="5" customFormat="1" ht="15.75" customHeight="1" x14ac:dyDescent="0.15"/>
    <row r="50" s="5" customFormat="1" ht="15.75" customHeight="1" x14ac:dyDescent="0.15"/>
    <row r="51" s="5" customFormat="1" ht="15.75" customHeight="1" x14ac:dyDescent="0.15"/>
    <row r="52" s="5" customFormat="1" ht="15.75" customHeight="1" x14ac:dyDescent="0.15"/>
    <row r="53" s="5" customFormat="1" ht="15.75" customHeight="1" x14ac:dyDescent="0.15"/>
    <row r="54" s="5" customFormat="1" ht="15.75" customHeight="1" x14ac:dyDescent="0.15"/>
    <row r="55" s="5" customFormat="1" ht="15.75" customHeight="1" x14ac:dyDescent="0.15"/>
    <row r="56" s="5" customFormat="1" ht="15.75" customHeight="1" x14ac:dyDescent="0.15"/>
    <row r="57" s="5" customFormat="1" ht="15.75" customHeight="1" x14ac:dyDescent="0.15"/>
    <row r="58" s="5" customFormat="1" ht="15.75" customHeight="1" x14ac:dyDescent="0.15"/>
    <row r="59" s="5" customFormat="1" ht="15.75" customHeight="1" x14ac:dyDescent="0.15"/>
    <row r="60" s="5" customFormat="1" ht="15.75" customHeight="1" x14ac:dyDescent="0.15"/>
    <row r="61" s="5" customFormat="1" ht="15.75" customHeight="1" x14ac:dyDescent="0.15"/>
    <row r="62" s="5" customFormat="1" ht="15.75" customHeight="1" x14ac:dyDescent="0.15"/>
    <row r="63" s="5" customFormat="1" ht="15.75" customHeight="1" x14ac:dyDescent="0.15"/>
    <row r="64" s="5" customFormat="1" ht="15.75" customHeight="1" x14ac:dyDescent="0.15"/>
    <row r="65" s="5" customFormat="1" ht="15.75" customHeight="1" x14ac:dyDescent="0.15"/>
    <row r="66" s="5" customFormat="1" ht="15.75" customHeight="1" x14ac:dyDescent="0.15"/>
    <row r="67" s="5" customFormat="1" ht="15.75" customHeight="1" x14ac:dyDescent="0.15"/>
    <row r="68" s="5" customFormat="1" ht="15.75" customHeight="1" x14ac:dyDescent="0.15"/>
    <row r="69" s="5" customFormat="1" ht="15.75" customHeight="1" x14ac:dyDescent="0.15"/>
    <row r="70" s="5" customFormat="1" ht="15.75" customHeight="1" x14ac:dyDescent="0.15"/>
    <row r="71" s="5" customFormat="1" ht="15.75" customHeight="1" x14ac:dyDescent="0.15"/>
    <row r="72" s="5" customFormat="1" ht="15.75" customHeight="1" x14ac:dyDescent="0.15"/>
    <row r="73" s="5" customFormat="1" ht="15.75" customHeight="1" x14ac:dyDescent="0.15"/>
    <row r="74" s="5" customFormat="1" ht="15.75" customHeight="1" x14ac:dyDescent="0.15"/>
    <row r="75" s="5" customFormat="1" ht="15.75" customHeight="1" x14ac:dyDescent="0.15"/>
    <row r="76" s="5" customFormat="1" ht="15.75" customHeight="1" x14ac:dyDescent="0.15"/>
    <row r="77" s="5" customFormat="1" ht="15.75" customHeight="1" x14ac:dyDescent="0.15"/>
    <row r="78" s="5" customFormat="1" ht="15.75" customHeight="1" x14ac:dyDescent="0.15"/>
    <row r="79" s="5" customFormat="1" ht="15.75" customHeight="1" x14ac:dyDescent="0.15"/>
    <row r="80" s="5" customFormat="1" ht="15.75" customHeight="1" x14ac:dyDescent="0.15"/>
    <row r="81" s="5" customFormat="1" ht="15.75" customHeight="1" x14ac:dyDescent="0.15"/>
    <row r="82" s="5" customFormat="1" ht="15.75" customHeight="1" x14ac:dyDescent="0.15"/>
    <row r="83" s="5" customFormat="1" ht="15.75" customHeight="1" x14ac:dyDescent="0.15"/>
    <row r="84" s="5" customFormat="1" ht="15.75" customHeight="1" x14ac:dyDescent="0.15"/>
    <row r="85" s="5" customFormat="1" ht="15.75" customHeight="1" x14ac:dyDescent="0.15"/>
    <row r="86" s="5" customFormat="1" ht="15.75" customHeight="1" x14ac:dyDescent="0.15"/>
    <row r="87" s="5" customFormat="1" ht="15.75" customHeight="1" x14ac:dyDescent="0.15"/>
    <row r="88" s="5" customFormat="1" ht="15.75" customHeight="1" x14ac:dyDescent="0.15"/>
    <row r="89" s="5" customFormat="1" ht="15.75" customHeight="1" x14ac:dyDescent="0.15"/>
    <row r="90" s="5" customFormat="1" ht="15.75" customHeight="1" x14ac:dyDescent="0.15"/>
    <row r="91" s="5" customFormat="1" ht="15.75" customHeight="1" x14ac:dyDescent="0.15"/>
    <row r="92" s="5" customFormat="1" ht="15.75" customHeight="1" x14ac:dyDescent="0.15"/>
    <row r="93" s="5" customFormat="1" ht="15.75" customHeight="1" x14ac:dyDescent="0.15"/>
    <row r="94" s="5" customFormat="1" ht="15.75" customHeight="1" x14ac:dyDescent="0.15"/>
    <row r="95" s="5" customFormat="1" ht="15.75" customHeight="1" x14ac:dyDescent="0.15"/>
    <row r="96" s="5" customFormat="1" ht="15.75" customHeight="1" x14ac:dyDescent="0.15"/>
    <row r="97" s="5" customFormat="1" ht="15.75" customHeight="1" x14ac:dyDescent="0.15"/>
    <row r="98" s="5" customFormat="1" ht="15.75" customHeight="1" x14ac:dyDescent="0.15"/>
    <row r="99" s="5" customFormat="1" ht="15.75" customHeight="1" x14ac:dyDescent="0.15"/>
    <row r="100" s="5" customFormat="1" ht="15.75" customHeight="1" x14ac:dyDescent="0.15"/>
    <row r="101" s="5" customFormat="1" ht="15.75" customHeight="1" x14ac:dyDescent="0.15"/>
    <row r="102" s="5" customFormat="1" ht="15.75" customHeight="1" x14ac:dyDescent="0.15"/>
    <row r="103" s="5" customFormat="1" ht="15.75" customHeight="1" x14ac:dyDescent="0.15"/>
    <row r="104" s="5" customFormat="1" ht="15.75" customHeight="1" x14ac:dyDescent="0.15"/>
    <row r="105" s="5" customFormat="1" ht="15.75" customHeight="1" x14ac:dyDescent="0.15"/>
    <row r="106" s="5" customFormat="1" ht="15.75" customHeight="1" x14ac:dyDescent="0.15"/>
    <row r="107" s="5" customFormat="1" ht="15.75" customHeight="1" x14ac:dyDescent="0.15"/>
    <row r="108" s="5" customFormat="1" ht="15.75" customHeight="1" x14ac:dyDescent="0.15"/>
    <row r="109" s="5" customFormat="1" ht="15.75" customHeight="1" x14ac:dyDescent="0.15"/>
    <row r="110" s="5" customFormat="1" ht="15.75" customHeight="1" x14ac:dyDescent="0.15"/>
    <row r="111" s="5" customFormat="1" ht="15.75" customHeight="1" x14ac:dyDescent="0.15"/>
    <row r="112" s="5" customFormat="1" ht="15.75" customHeight="1" x14ac:dyDescent="0.15"/>
    <row r="113" s="5" customFormat="1" ht="15.75" customHeight="1" x14ac:dyDescent="0.15"/>
    <row r="114" s="5" customFormat="1" ht="15.75" customHeight="1" x14ac:dyDescent="0.15"/>
    <row r="115" s="5" customFormat="1" ht="15.75" customHeight="1" x14ac:dyDescent="0.15"/>
    <row r="116" s="5" customFormat="1" ht="15.75" customHeight="1" x14ac:dyDescent="0.15"/>
    <row r="117" s="5" customFormat="1" ht="15.75" customHeight="1" x14ac:dyDescent="0.15"/>
    <row r="118" s="5" customFormat="1" ht="15.75" customHeight="1" x14ac:dyDescent="0.15"/>
    <row r="119" s="5" customFormat="1" ht="15.75" customHeight="1" x14ac:dyDescent="0.15"/>
    <row r="120" s="5" customFormat="1" ht="15.75" customHeight="1" x14ac:dyDescent="0.15"/>
    <row r="121" s="5" customFormat="1" ht="15.75" customHeight="1" x14ac:dyDescent="0.15"/>
    <row r="122" s="5" customFormat="1" ht="15.75" customHeight="1" x14ac:dyDescent="0.15"/>
    <row r="123" s="5" customFormat="1" ht="15.75" customHeight="1" x14ac:dyDescent="0.15"/>
    <row r="124" s="5" customFormat="1" ht="15.75" customHeight="1" x14ac:dyDescent="0.15"/>
    <row r="125" s="5" customFormat="1" ht="15.75" customHeight="1" x14ac:dyDescent="0.15"/>
    <row r="126" s="5" customFormat="1" ht="15.75" customHeight="1" x14ac:dyDescent="0.15"/>
    <row r="127" s="5" customFormat="1" ht="15.75" customHeight="1" x14ac:dyDescent="0.15"/>
    <row r="128" s="5" customFormat="1" ht="15.75" customHeight="1" x14ac:dyDescent="0.15"/>
    <row r="129" s="5" customFormat="1" ht="15.75" customHeight="1" x14ac:dyDescent="0.15"/>
    <row r="130" s="5" customFormat="1" ht="15.75" customHeight="1" x14ac:dyDescent="0.15"/>
    <row r="131" s="5" customFormat="1" ht="15.75" customHeight="1" x14ac:dyDescent="0.15"/>
    <row r="132" s="5" customFormat="1" ht="15.75" customHeight="1" x14ac:dyDescent="0.15"/>
    <row r="133" s="5" customFormat="1" ht="15.75" customHeight="1" x14ac:dyDescent="0.15"/>
    <row r="134" s="5" customFormat="1" ht="15.75" customHeight="1" x14ac:dyDescent="0.15"/>
    <row r="135" s="5" customFormat="1" ht="15.75" customHeight="1" x14ac:dyDescent="0.15"/>
    <row r="136" s="5" customFormat="1" ht="15.75" customHeight="1" x14ac:dyDescent="0.15"/>
    <row r="137" s="5" customFormat="1" ht="15.75" customHeight="1" x14ac:dyDescent="0.15"/>
    <row r="138" s="5" customFormat="1" ht="15.75" customHeight="1" x14ac:dyDescent="0.15"/>
    <row r="139" s="5" customFormat="1" ht="15.75" customHeight="1" x14ac:dyDescent="0.15"/>
    <row r="140" s="5" customFormat="1" ht="15.75" customHeight="1" x14ac:dyDescent="0.15"/>
    <row r="141" s="5" customFormat="1" ht="15.75" customHeight="1" x14ac:dyDescent="0.15"/>
    <row r="142" s="5" customFormat="1" ht="15.75" customHeight="1" x14ac:dyDescent="0.15"/>
    <row r="143" s="5" customFormat="1" ht="15.75" customHeight="1" x14ac:dyDescent="0.15"/>
    <row r="144" s="5" customFormat="1" ht="15.75" customHeight="1" x14ac:dyDescent="0.15"/>
    <row r="145" s="5" customFormat="1" ht="15.75" customHeight="1" x14ac:dyDescent="0.15"/>
    <row r="146" s="5" customFormat="1" ht="15.75" customHeight="1" x14ac:dyDescent="0.15"/>
    <row r="147" s="5" customFormat="1" ht="15.75" customHeight="1" x14ac:dyDescent="0.15"/>
    <row r="148" s="5" customFormat="1" ht="15.75" customHeight="1" x14ac:dyDescent="0.15"/>
    <row r="149" s="5" customFormat="1" ht="15.75" customHeight="1" x14ac:dyDescent="0.15"/>
    <row r="150" s="5" customFormat="1" ht="15.75" customHeight="1" x14ac:dyDescent="0.15"/>
    <row r="151" s="5" customFormat="1" ht="15.75" customHeight="1" x14ac:dyDescent="0.15"/>
    <row r="152" s="5" customFormat="1" ht="15.75" customHeight="1" x14ac:dyDescent="0.15"/>
    <row r="153" s="5" customFormat="1" ht="15.75" customHeight="1" x14ac:dyDescent="0.15"/>
    <row r="154" s="5" customFormat="1" ht="15.75" customHeight="1" x14ac:dyDescent="0.15"/>
    <row r="155" s="5" customFormat="1" ht="15.75" customHeight="1" x14ac:dyDescent="0.15"/>
    <row r="156" s="5" customFormat="1" ht="15.75" customHeight="1" x14ac:dyDescent="0.15"/>
    <row r="157" s="5" customFormat="1" ht="15.75" customHeight="1" x14ac:dyDescent="0.15"/>
    <row r="158" s="5" customFormat="1" ht="15.75" customHeight="1" x14ac:dyDescent="0.15"/>
    <row r="159" s="5" customFormat="1" ht="15.75" customHeight="1" x14ac:dyDescent="0.15"/>
    <row r="160" s="5" customFormat="1" ht="15.75" customHeight="1" x14ac:dyDescent="0.15"/>
    <row r="161" s="5" customFormat="1" ht="15.75" customHeight="1" x14ac:dyDescent="0.15"/>
    <row r="162" s="5" customFormat="1" ht="15.75" customHeight="1" x14ac:dyDescent="0.15"/>
    <row r="163" s="5" customFormat="1" ht="15.75" customHeight="1" x14ac:dyDescent="0.15"/>
    <row r="164" s="5" customFormat="1" ht="15.75" customHeight="1" x14ac:dyDescent="0.15"/>
    <row r="165" s="5" customFormat="1" ht="15.75" customHeight="1" x14ac:dyDescent="0.15"/>
    <row r="166" s="5" customFormat="1" ht="15.75" customHeight="1" x14ac:dyDescent="0.15"/>
    <row r="167" s="5" customFormat="1" ht="15.75" customHeight="1" x14ac:dyDescent="0.15"/>
    <row r="168" s="5" customFormat="1" ht="15.75" customHeight="1" x14ac:dyDescent="0.15"/>
    <row r="169" s="5" customFormat="1" ht="15.75" customHeight="1" x14ac:dyDescent="0.15"/>
    <row r="170" s="5" customFormat="1" ht="15.75" customHeight="1" x14ac:dyDescent="0.15"/>
    <row r="171" s="5" customFormat="1" ht="15.75" customHeight="1" x14ac:dyDescent="0.15"/>
    <row r="172" s="5" customFormat="1" ht="15.75" customHeight="1" x14ac:dyDescent="0.15"/>
    <row r="173" s="5" customFormat="1" ht="15.75" customHeight="1" x14ac:dyDescent="0.15"/>
    <row r="174" s="5" customFormat="1" ht="15.75" customHeight="1" x14ac:dyDescent="0.15"/>
    <row r="175" s="5" customFormat="1" ht="15.75" customHeight="1" x14ac:dyDescent="0.15"/>
    <row r="176" s="5" customFormat="1" ht="15.75" customHeight="1" x14ac:dyDescent="0.15"/>
    <row r="177" s="5" customFormat="1" ht="15.75" customHeight="1" x14ac:dyDescent="0.15"/>
    <row r="178" s="5" customFormat="1" ht="15.75" customHeight="1" x14ac:dyDescent="0.15"/>
    <row r="179" s="5" customFormat="1" ht="15.75" customHeight="1" x14ac:dyDescent="0.15"/>
    <row r="180" s="5" customFormat="1" ht="15.75" customHeight="1" x14ac:dyDescent="0.15"/>
    <row r="181" s="5" customFormat="1" ht="15.75" customHeight="1" x14ac:dyDescent="0.15"/>
    <row r="182" s="5" customFormat="1" ht="15.75" customHeight="1" x14ac:dyDescent="0.15"/>
    <row r="183" s="5" customFormat="1" ht="15.75" customHeight="1" x14ac:dyDescent="0.15"/>
    <row r="184" s="5" customFormat="1" ht="15.75" customHeight="1" x14ac:dyDescent="0.15"/>
    <row r="185" s="5" customFormat="1" ht="15.75" customHeight="1" x14ac:dyDescent="0.15"/>
    <row r="186" s="5" customFormat="1" ht="15.75" customHeight="1" x14ac:dyDescent="0.15"/>
    <row r="187" s="5" customFormat="1" ht="15.75" customHeight="1" x14ac:dyDescent="0.15"/>
    <row r="188" s="5" customFormat="1" ht="15.75" customHeight="1" x14ac:dyDescent="0.15"/>
    <row r="189" s="5" customFormat="1" ht="15.75" customHeight="1" x14ac:dyDescent="0.15"/>
    <row r="190" s="5" customFormat="1" ht="15.75" customHeight="1" x14ac:dyDescent="0.15"/>
    <row r="191" s="5" customFormat="1" ht="15.75" customHeight="1" x14ac:dyDescent="0.15"/>
    <row r="192" s="5" customFormat="1" ht="15.75" customHeight="1" x14ac:dyDescent="0.15"/>
    <row r="193" s="5" customFormat="1" ht="15.75" customHeight="1" x14ac:dyDescent="0.15"/>
    <row r="194" s="5" customFormat="1" ht="15.75" customHeight="1" x14ac:dyDescent="0.15"/>
    <row r="195" s="5" customFormat="1" ht="15.75" customHeight="1" x14ac:dyDescent="0.15"/>
    <row r="196" s="5" customFormat="1" ht="15.75" customHeight="1" x14ac:dyDescent="0.15"/>
    <row r="197" s="5" customFormat="1" ht="15.75" customHeight="1" x14ac:dyDescent="0.15"/>
    <row r="198" s="5" customFormat="1" ht="15.75" customHeight="1" x14ac:dyDescent="0.15"/>
    <row r="199" s="5" customFormat="1" ht="15.75" customHeight="1" x14ac:dyDescent="0.15"/>
    <row r="200" s="5" customFormat="1" ht="15.75" customHeight="1" x14ac:dyDescent="0.15"/>
    <row r="201" s="5" customFormat="1" ht="15.75" customHeight="1" x14ac:dyDescent="0.15"/>
    <row r="202" s="5" customFormat="1" ht="15.75" customHeight="1" x14ac:dyDescent="0.15"/>
    <row r="203" s="5" customFormat="1" ht="15.75" customHeight="1" x14ac:dyDescent="0.15"/>
    <row r="204" s="5" customFormat="1" ht="15.75" customHeight="1" x14ac:dyDescent="0.15"/>
    <row r="205" s="5" customFormat="1" ht="15.75" customHeight="1" x14ac:dyDescent="0.15"/>
    <row r="206" s="5" customFormat="1" ht="15.75" customHeight="1" x14ac:dyDescent="0.15"/>
    <row r="207" s="5" customFormat="1" ht="15.75" customHeight="1" x14ac:dyDescent="0.15"/>
    <row r="208" s="5" customFormat="1" ht="15.75" customHeight="1" x14ac:dyDescent="0.15"/>
    <row r="209" s="5" customFormat="1" ht="15.75" customHeight="1" x14ac:dyDescent="0.15"/>
    <row r="210" s="5" customFormat="1" ht="15.75" customHeight="1" x14ac:dyDescent="0.15"/>
    <row r="211" s="5" customFormat="1" ht="15.75" customHeight="1" x14ac:dyDescent="0.15"/>
    <row r="212" s="5" customFormat="1" ht="15.75" customHeight="1" x14ac:dyDescent="0.15"/>
    <row r="213" s="5" customFormat="1" ht="15.75" customHeight="1" x14ac:dyDescent="0.15"/>
    <row r="214" s="5" customFormat="1" ht="15.75" customHeight="1" x14ac:dyDescent="0.15"/>
    <row r="215" s="5" customFormat="1" ht="15.75" customHeight="1" x14ac:dyDescent="0.15"/>
    <row r="216" s="5" customFormat="1" ht="15.75" customHeight="1" x14ac:dyDescent="0.15"/>
    <row r="217" s="5" customFormat="1" ht="15.75" customHeight="1" x14ac:dyDescent="0.15"/>
    <row r="218" s="5" customFormat="1" ht="15.75" customHeight="1" x14ac:dyDescent="0.15"/>
    <row r="219" s="5" customFormat="1" ht="15.75" customHeight="1" x14ac:dyDescent="0.15"/>
    <row r="220" s="5" customFormat="1" ht="15.75" customHeight="1" x14ac:dyDescent="0.15"/>
    <row r="221" s="5" customFormat="1" ht="15.75" customHeight="1" x14ac:dyDescent="0.15"/>
    <row r="222" s="5" customFormat="1" ht="15.75" customHeight="1" x14ac:dyDescent="0.15"/>
    <row r="223" s="5" customFormat="1" ht="15.75" customHeight="1" x14ac:dyDescent="0.15"/>
    <row r="224" s="5" customFormat="1" ht="15.75" customHeight="1" x14ac:dyDescent="0.15"/>
    <row r="225" s="5" customFormat="1" ht="15.75" customHeight="1" x14ac:dyDescent="0.15"/>
    <row r="226" s="5" customFormat="1" ht="15.75" customHeight="1" x14ac:dyDescent="0.15"/>
    <row r="227" s="5" customFormat="1" ht="15.75" customHeight="1" x14ac:dyDescent="0.15"/>
    <row r="228" s="5" customFormat="1" ht="15.75" customHeight="1" x14ac:dyDescent="0.15"/>
    <row r="229" s="5" customFormat="1" ht="15.75" customHeight="1" x14ac:dyDescent="0.15"/>
    <row r="230" s="5" customFormat="1" ht="15.75" customHeight="1" x14ac:dyDescent="0.15"/>
    <row r="231" s="5" customFormat="1" ht="15.75" customHeight="1" x14ac:dyDescent="0.15"/>
    <row r="232" s="5" customFormat="1" ht="15.75" customHeight="1" x14ac:dyDescent="0.15"/>
    <row r="233" s="5" customFormat="1" ht="15.75" customHeight="1" x14ac:dyDescent="0.15"/>
    <row r="234" s="5" customFormat="1" ht="15.75" customHeight="1" x14ac:dyDescent="0.15"/>
    <row r="235" s="5" customFormat="1" ht="15.75" customHeight="1" x14ac:dyDescent="0.15"/>
    <row r="236" s="5" customFormat="1" ht="15.75" customHeight="1" x14ac:dyDescent="0.15"/>
    <row r="237" s="5" customFormat="1" ht="15.75" customHeight="1" x14ac:dyDescent="0.15"/>
    <row r="238" s="5" customFormat="1" ht="15.75" customHeight="1" x14ac:dyDescent="0.15"/>
    <row r="239" s="5" customFormat="1" ht="15.75" customHeight="1" x14ac:dyDescent="0.15"/>
    <row r="240" s="5" customFormat="1" ht="15.75" customHeight="1" x14ac:dyDescent="0.15"/>
    <row r="241" s="5" customFormat="1" ht="15.75" customHeight="1" x14ac:dyDescent="0.15"/>
    <row r="242" s="5" customFormat="1" ht="15.75" customHeight="1" x14ac:dyDescent="0.15"/>
    <row r="243" s="5" customFormat="1" ht="15.75" customHeight="1" x14ac:dyDescent="0.15"/>
    <row r="244" s="5" customFormat="1" ht="15.75" customHeight="1" x14ac:dyDescent="0.15"/>
    <row r="245" s="5" customFormat="1" ht="15.75" customHeight="1" x14ac:dyDescent="0.15"/>
    <row r="246" s="5" customFormat="1" ht="15.75" customHeight="1" x14ac:dyDescent="0.15"/>
    <row r="247" s="5" customFormat="1" ht="15.75" customHeight="1" x14ac:dyDescent="0.15"/>
    <row r="248" s="5" customFormat="1" ht="15.75" customHeight="1" x14ac:dyDescent="0.15"/>
    <row r="249" s="5" customFormat="1" ht="15.75" customHeight="1" x14ac:dyDescent="0.15"/>
    <row r="250" s="5" customFormat="1" ht="15.75" customHeight="1" x14ac:dyDescent="0.15"/>
    <row r="251" s="5" customFormat="1" ht="15.75" customHeight="1" x14ac:dyDescent="0.15"/>
    <row r="252" s="5" customFormat="1" ht="15.75" customHeight="1" x14ac:dyDescent="0.15"/>
    <row r="253" s="5" customFormat="1" ht="15.75" customHeight="1" x14ac:dyDescent="0.15"/>
    <row r="254" s="5" customFormat="1" ht="15.75" customHeight="1" x14ac:dyDescent="0.15"/>
    <row r="255" s="5" customFormat="1" ht="15.75" customHeight="1" x14ac:dyDescent="0.15"/>
    <row r="256" s="5" customFormat="1" ht="15.75" customHeight="1" x14ac:dyDescent="0.15"/>
    <row r="257" s="5" customFormat="1" ht="15.75" customHeight="1" x14ac:dyDescent="0.15"/>
    <row r="258" s="5" customFormat="1" ht="15.75" customHeight="1" x14ac:dyDescent="0.15"/>
    <row r="259" s="5" customFormat="1" ht="15.75" customHeight="1" x14ac:dyDescent="0.15"/>
    <row r="260" s="5" customFormat="1" ht="15.75" customHeight="1" x14ac:dyDescent="0.15"/>
    <row r="261" s="5" customFormat="1" ht="15.75" customHeight="1" x14ac:dyDescent="0.15"/>
    <row r="262" s="5" customFormat="1" ht="15.75" customHeight="1" x14ac:dyDescent="0.15"/>
    <row r="263" s="5" customFormat="1" ht="15.75" customHeight="1" x14ac:dyDescent="0.15"/>
    <row r="264" s="5" customFormat="1" ht="15.75" customHeight="1" x14ac:dyDescent="0.15"/>
    <row r="265" s="5" customFormat="1" ht="15.75" customHeight="1" x14ac:dyDescent="0.15"/>
    <row r="266" s="5" customFormat="1" ht="15.75" customHeight="1" x14ac:dyDescent="0.15"/>
    <row r="267" s="5" customFormat="1" ht="15.75" customHeight="1" x14ac:dyDescent="0.15"/>
    <row r="268" s="5" customFormat="1" ht="15.75" customHeight="1" x14ac:dyDescent="0.15"/>
    <row r="269" s="5" customFormat="1" ht="15.75" customHeight="1" x14ac:dyDescent="0.15"/>
    <row r="270" s="5" customFormat="1" ht="15.75" customHeight="1" x14ac:dyDescent="0.15"/>
    <row r="271" s="5" customFormat="1" ht="15.75" customHeight="1" x14ac:dyDescent="0.15"/>
    <row r="272" s="5" customFormat="1" ht="15.75" customHeight="1" x14ac:dyDescent="0.15"/>
    <row r="273" s="5" customFormat="1" ht="15.75" customHeight="1" x14ac:dyDescent="0.15"/>
    <row r="274" s="5" customFormat="1" ht="15.75" customHeight="1" x14ac:dyDescent="0.15"/>
    <row r="275" s="5" customFormat="1" ht="15.75" customHeight="1" x14ac:dyDescent="0.15"/>
    <row r="276" s="5" customFormat="1" ht="15.75" customHeight="1" x14ac:dyDescent="0.15"/>
    <row r="277" s="5" customFormat="1" ht="15.75" customHeight="1" x14ac:dyDescent="0.15"/>
    <row r="278" s="5" customFormat="1" ht="15.75" customHeight="1" x14ac:dyDescent="0.15"/>
    <row r="279" s="5" customFormat="1" ht="15.75" customHeight="1" x14ac:dyDescent="0.15"/>
    <row r="280" s="5" customFormat="1" ht="15.75" customHeight="1" x14ac:dyDescent="0.15"/>
    <row r="281" s="5" customFormat="1" ht="15.75" customHeight="1" x14ac:dyDescent="0.15"/>
    <row r="282" s="5" customFormat="1" ht="15.75" customHeight="1" x14ac:dyDescent="0.15"/>
    <row r="283" s="5" customFormat="1" ht="15.75" customHeight="1" x14ac:dyDescent="0.15"/>
    <row r="284" s="5" customFormat="1" ht="15.75" customHeight="1" x14ac:dyDescent="0.15"/>
    <row r="285" s="5" customFormat="1" ht="15.75" customHeight="1" x14ac:dyDescent="0.15"/>
    <row r="286" s="5" customFormat="1" ht="15.75" customHeight="1" x14ac:dyDescent="0.15"/>
    <row r="287" s="5" customFormat="1" ht="15.75" customHeight="1" x14ac:dyDescent="0.15"/>
    <row r="288" s="5" customFormat="1" ht="15.75" customHeight="1" x14ac:dyDescent="0.15"/>
    <row r="289" s="5" customFormat="1" ht="15.75" customHeight="1" x14ac:dyDescent="0.15"/>
    <row r="290" s="5" customFormat="1" ht="15.75" customHeight="1" x14ac:dyDescent="0.15"/>
    <row r="291" s="5" customFormat="1" ht="15.75" customHeight="1" x14ac:dyDescent="0.15"/>
    <row r="292" s="5" customFormat="1" ht="15.75" customHeight="1" x14ac:dyDescent="0.15"/>
    <row r="293" s="5" customFormat="1" ht="15.75" customHeight="1" x14ac:dyDescent="0.15"/>
    <row r="294" s="5" customFormat="1" ht="15.75" customHeight="1" x14ac:dyDescent="0.15"/>
    <row r="295" s="5" customFormat="1" ht="15.75" customHeight="1" x14ac:dyDescent="0.15"/>
    <row r="296" s="5" customFormat="1" ht="15.75" customHeight="1" x14ac:dyDescent="0.15"/>
    <row r="297" s="5" customFormat="1" ht="15.75" customHeight="1" x14ac:dyDescent="0.15"/>
    <row r="298" s="5" customFormat="1" ht="15.75" customHeight="1" x14ac:dyDescent="0.15"/>
    <row r="299" s="5" customFormat="1" ht="15.75" customHeight="1" x14ac:dyDescent="0.15"/>
    <row r="300" s="5" customFormat="1" ht="15.75" customHeight="1" x14ac:dyDescent="0.15"/>
    <row r="301" s="5" customFormat="1" ht="15.75" customHeight="1" x14ac:dyDescent="0.15"/>
    <row r="302" s="5" customFormat="1" ht="15.75" customHeight="1" x14ac:dyDescent="0.15"/>
    <row r="303" s="5" customFormat="1" ht="15.75" customHeight="1" x14ac:dyDescent="0.15"/>
    <row r="304" s="5" customFormat="1" ht="15.75" customHeight="1" x14ac:dyDescent="0.15"/>
    <row r="305" s="5" customFormat="1" ht="15.75" customHeight="1" x14ac:dyDescent="0.15"/>
    <row r="306" s="5" customFormat="1" ht="15.75" customHeight="1" x14ac:dyDescent="0.15"/>
    <row r="307" s="5" customFormat="1" ht="15.75" customHeight="1" x14ac:dyDescent="0.15"/>
    <row r="308" s="5" customFormat="1" ht="15.75" customHeight="1" x14ac:dyDescent="0.15"/>
    <row r="309" s="5" customFormat="1" ht="15.75" customHeight="1" x14ac:dyDescent="0.15"/>
    <row r="310" s="5" customFormat="1" ht="15.75" customHeight="1" x14ac:dyDescent="0.15"/>
    <row r="311" s="5" customFormat="1" ht="15.75" customHeight="1" x14ac:dyDescent="0.15"/>
    <row r="312" s="5" customFormat="1" ht="15.75" customHeight="1" x14ac:dyDescent="0.15"/>
    <row r="313" s="5" customFormat="1" ht="15.75" customHeight="1" x14ac:dyDescent="0.15"/>
    <row r="314" s="5" customFormat="1" ht="15.75" customHeight="1" x14ac:dyDescent="0.15"/>
    <row r="315" s="5" customFormat="1" ht="15.75" customHeight="1" x14ac:dyDescent="0.15"/>
    <row r="316" s="5" customFormat="1" ht="15.75" customHeight="1" x14ac:dyDescent="0.15"/>
    <row r="317" s="5" customFormat="1" ht="15.75" customHeight="1" x14ac:dyDescent="0.15"/>
    <row r="318" s="5" customFormat="1" ht="15.75" customHeight="1" x14ac:dyDescent="0.15"/>
    <row r="319" s="5" customFormat="1" ht="15.75" customHeight="1" x14ac:dyDescent="0.15"/>
    <row r="320" s="5" customFormat="1" ht="15.75" customHeight="1" x14ac:dyDescent="0.15"/>
    <row r="321" s="5" customFormat="1" ht="15.75" customHeight="1" x14ac:dyDescent="0.15"/>
    <row r="322" s="5" customFormat="1" ht="15.75" customHeight="1" x14ac:dyDescent="0.15"/>
    <row r="323" s="5" customFormat="1" ht="15.75" customHeight="1" x14ac:dyDescent="0.15"/>
    <row r="324" s="5" customFormat="1" ht="15.75" customHeight="1" x14ac:dyDescent="0.15"/>
    <row r="325" s="5" customFormat="1" ht="15.75" customHeight="1" x14ac:dyDescent="0.15"/>
    <row r="326" s="5" customFormat="1" ht="15.75" customHeight="1" x14ac:dyDescent="0.15"/>
    <row r="327" s="5" customFormat="1" ht="15.75" customHeight="1" x14ac:dyDescent="0.15"/>
    <row r="328" s="5" customFormat="1" ht="15.75" customHeight="1" x14ac:dyDescent="0.15"/>
    <row r="329" s="5" customFormat="1" ht="15.75" customHeight="1" x14ac:dyDescent="0.15"/>
    <row r="330" s="5" customFormat="1" ht="15.75" customHeight="1" x14ac:dyDescent="0.15"/>
    <row r="331" s="5" customFormat="1" ht="15.75" customHeight="1" x14ac:dyDescent="0.15"/>
    <row r="332" s="5" customFormat="1" ht="15.75" customHeight="1" x14ac:dyDescent="0.15"/>
    <row r="333" s="5" customFormat="1" ht="15.75" customHeight="1" x14ac:dyDescent="0.15"/>
    <row r="334" s="5" customFormat="1" ht="15.75" customHeight="1" x14ac:dyDescent="0.15"/>
    <row r="335" s="5" customFormat="1" ht="15.75" customHeight="1" x14ac:dyDescent="0.15"/>
    <row r="336" s="5" customFormat="1" ht="15.75" customHeight="1" x14ac:dyDescent="0.15"/>
    <row r="337" s="5" customFormat="1" ht="15.75" customHeight="1" x14ac:dyDescent="0.15"/>
    <row r="338" s="5" customFormat="1" ht="15.75" customHeight="1" x14ac:dyDescent="0.15"/>
    <row r="339" s="5" customFormat="1" ht="15.75" customHeight="1" x14ac:dyDescent="0.15"/>
    <row r="340" s="5" customFormat="1" ht="15.75" customHeight="1" x14ac:dyDescent="0.15"/>
    <row r="341" s="5" customFormat="1" ht="15.75" customHeight="1" x14ac:dyDescent="0.15"/>
    <row r="342" s="5" customFormat="1" ht="15.75" customHeight="1" x14ac:dyDescent="0.15"/>
    <row r="343" s="5" customFormat="1" ht="15.75" customHeight="1" x14ac:dyDescent="0.15"/>
    <row r="344" s="5" customFormat="1" ht="15.75" customHeight="1" x14ac:dyDescent="0.15"/>
    <row r="345" s="5" customFormat="1" ht="15.75" customHeight="1" x14ac:dyDescent="0.15"/>
    <row r="346" s="5" customFormat="1" ht="15.75" customHeight="1" x14ac:dyDescent="0.15"/>
    <row r="347" s="5" customFormat="1" ht="15.75" customHeight="1" x14ac:dyDescent="0.15"/>
    <row r="348" s="5" customFormat="1" ht="15.75" customHeight="1" x14ac:dyDescent="0.15"/>
    <row r="349" s="5" customFormat="1" ht="15.75" customHeight="1" x14ac:dyDescent="0.15"/>
    <row r="350" s="5" customFormat="1" ht="15.75" customHeight="1" x14ac:dyDescent="0.15"/>
    <row r="351" s="5" customFormat="1" ht="15.75" customHeight="1" x14ac:dyDescent="0.15"/>
    <row r="352" s="5" customFormat="1" ht="15.75" customHeight="1" x14ac:dyDescent="0.15"/>
    <row r="353" s="5" customFormat="1" ht="15.75" customHeight="1" x14ac:dyDescent="0.15"/>
    <row r="354" s="5" customFormat="1" ht="15.75" customHeight="1" x14ac:dyDescent="0.15"/>
    <row r="355" s="5" customFormat="1" ht="15.75" customHeight="1" x14ac:dyDescent="0.15"/>
    <row r="356" s="5" customFormat="1" ht="15.75" customHeight="1" x14ac:dyDescent="0.15"/>
    <row r="357" s="5" customFormat="1" ht="15.75" customHeight="1" x14ac:dyDescent="0.15"/>
    <row r="358" s="5" customFormat="1" ht="15.75" customHeight="1" x14ac:dyDescent="0.15"/>
    <row r="359" s="5" customFormat="1" ht="15.75" customHeight="1" x14ac:dyDescent="0.15"/>
    <row r="360" s="5" customFormat="1" ht="15.75" customHeight="1" x14ac:dyDescent="0.15"/>
    <row r="361" s="5" customFormat="1" ht="15.75" customHeight="1" x14ac:dyDescent="0.15"/>
    <row r="362" s="5" customFormat="1" ht="15.75" customHeight="1" x14ac:dyDescent="0.15"/>
    <row r="363" s="5" customFormat="1" ht="15.75" customHeight="1" x14ac:dyDescent="0.15"/>
    <row r="364" s="5" customFormat="1" ht="15.75" customHeight="1" x14ac:dyDescent="0.15"/>
    <row r="365" s="5" customFormat="1" ht="15.75" customHeight="1" x14ac:dyDescent="0.15"/>
    <row r="366" s="5" customFormat="1" ht="15.75" customHeight="1" x14ac:dyDescent="0.15"/>
    <row r="367" s="5" customFormat="1" ht="15.75" customHeight="1" x14ac:dyDescent="0.15"/>
    <row r="368" s="5" customFormat="1" ht="15.75" customHeight="1" x14ac:dyDescent="0.15"/>
    <row r="369" s="5" customFormat="1" ht="15.75" customHeight="1" x14ac:dyDescent="0.15"/>
    <row r="370" s="5" customFormat="1" ht="15.75" customHeight="1" x14ac:dyDescent="0.15"/>
    <row r="371" s="5" customFormat="1" ht="15.75" customHeight="1" x14ac:dyDescent="0.15"/>
    <row r="372" s="5" customFormat="1" ht="15.75" customHeight="1" x14ac:dyDescent="0.15"/>
    <row r="373" s="5" customFormat="1" ht="15.75" customHeight="1" x14ac:dyDescent="0.15"/>
    <row r="374" s="5" customFormat="1" ht="15.75" customHeight="1" x14ac:dyDescent="0.15"/>
    <row r="375" s="5" customFormat="1" ht="15.75" customHeight="1" x14ac:dyDescent="0.15"/>
    <row r="376" s="5" customFormat="1" ht="15.75" customHeight="1" x14ac:dyDescent="0.15"/>
    <row r="377" s="5" customFormat="1" ht="15.75" customHeight="1" x14ac:dyDescent="0.15"/>
    <row r="378" s="5" customFormat="1" ht="15.75" customHeight="1" x14ac:dyDescent="0.15"/>
    <row r="379" s="5" customFormat="1" ht="15.75" customHeight="1" x14ac:dyDescent="0.15"/>
    <row r="380" s="5" customFormat="1" ht="15.75" customHeight="1" x14ac:dyDescent="0.15"/>
    <row r="381" s="5" customFormat="1" ht="15.75" customHeight="1" x14ac:dyDescent="0.15"/>
    <row r="382" s="5" customFormat="1" ht="15.75" customHeight="1" x14ac:dyDescent="0.15"/>
    <row r="383" s="5" customFormat="1" ht="15.75" customHeight="1" x14ac:dyDescent="0.15"/>
    <row r="384" s="5" customFormat="1" ht="15.75" customHeight="1" x14ac:dyDescent="0.15"/>
    <row r="385" s="5" customFormat="1" ht="15.75" customHeight="1" x14ac:dyDescent="0.15"/>
    <row r="386" s="5" customFormat="1" ht="15.75" customHeight="1" x14ac:dyDescent="0.15"/>
    <row r="387" s="5" customFormat="1" ht="15.75" customHeight="1" x14ac:dyDescent="0.15"/>
    <row r="388" s="5" customFormat="1" ht="15.75" customHeight="1" x14ac:dyDescent="0.15"/>
    <row r="389" s="5" customFormat="1" ht="15.75" customHeight="1" x14ac:dyDescent="0.15"/>
    <row r="390" s="5" customFormat="1" ht="15.75" customHeight="1" x14ac:dyDescent="0.15"/>
    <row r="391" s="5" customFormat="1" ht="15.75" customHeight="1" x14ac:dyDescent="0.15"/>
    <row r="392" s="5" customFormat="1" ht="15.75" customHeight="1" x14ac:dyDescent="0.15"/>
    <row r="393" s="5" customFormat="1" ht="15.75" customHeight="1" x14ac:dyDescent="0.15"/>
    <row r="394" s="5" customFormat="1" ht="15.75" customHeight="1" x14ac:dyDescent="0.15"/>
    <row r="395" s="5" customFormat="1" ht="15.75" customHeight="1" x14ac:dyDescent="0.15"/>
    <row r="396" s="5" customFormat="1" ht="15.75" customHeight="1" x14ac:dyDescent="0.15"/>
    <row r="397" s="5" customFormat="1" ht="15.75" customHeight="1" x14ac:dyDescent="0.15"/>
    <row r="398" s="5" customFormat="1" ht="15.75" customHeight="1" x14ac:dyDescent="0.15"/>
    <row r="399" s="5" customFormat="1" ht="15.75" customHeight="1" x14ac:dyDescent="0.15"/>
    <row r="400" s="5" customFormat="1" ht="15.75" customHeight="1" x14ac:dyDescent="0.15"/>
    <row r="401" s="5" customFormat="1" ht="15.75" customHeight="1" x14ac:dyDescent="0.15"/>
    <row r="402" s="5" customFormat="1" ht="15.75" customHeight="1" x14ac:dyDescent="0.15"/>
    <row r="403" s="5" customFormat="1" ht="15.75" customHeight="1" x14ac:dyDescent="0.15"/>
    <row r="404" s="5" customFormat="1" ht="15.75" customHeight="1" x14ac:dyDescent="0.15"/>
    <row r="405" s="5" customFormat="1" ht="15.75" customHeight="1" x14ac:dyDescent="0.15"/>
    <row r="406" s="5" customFormat="1" ht="15.75" customHeight="1" x14ac:dyDescent="0.15"/>
    <row r="407" s="5" customFormat="1" ht="15.75" customHeight="1" x14ac:dyDescent="0.15"/>
    <row r="408" s="5" customFormat="1" ht="15.75" customHeight="1" x14ac:dyDescent="0.15"/>
    <row r="409" s="5" customFormat="1" ht="15.75" customHeight="1" x14ac:dyDescent="0.15"/>
    <row r="410" s="5" customFormat="1" ht="15.75" customHeight="1" x14ac:dyDescent="0.15"/>
    <row r="411" s="5" customFormat="1" ht="15.75" customHeight="1" x14ac:dyDescent="0.15"/>
    <row r="412" s="5" customFormat="1" ht="15.75" customHeight="1" x14ac:dyDescent="0.15"/>
    <row r="413" s="5" customFormat="1" ht="15.75" customHeight="1" x14ac:dyDescent="0.15"/>
    <row r="414" s="5" customFormat="1" ht="15.75" customHeight="1" x14ac:dyDescent="0.15"/>
    <row r="415" s="5" customFormat="1" ht="15.75" customHeight="1" x14ac:dyDescent="0.15"/>
    <row r="416" s="5" customFormat="1" ht="15.75" customHeight="1" x14ac:dyDescent="0.15"/>
    <row r="417" s="5" customFormat="1" ht="15.75" customHeight="1" x14ac:dyDescent="0.15"/>
    <row r="418" s="5" customFormat="1" ht="15.75" customHeight="1" x14ac:dyDescent="0.15"/>
    <row r="419" s="5" customFormat="1" ht="15.75" customHeight="1" x14ac:dyDescent="0.15"/>
    <row r="420" s="5" customFormat="1" ht="15.75" customHeight="1" x14ac:dyDescent="0.15"/>
    <row r="421" s="5" customFormat="1" ht="15.75" customHeight="1" x14ac:dyDescent="0.15"/>
    <row r="422" s="5" customFormat="1" ht="15.75" customHeight="1" x14ac:dyDescent="0.15"/>
    <row r="423" s="5" customFormat="1" ht="15.75" customHeight="1" x14ac:dyDescent="0.15"/>
    <row r="424" s="5" customFormat="1" ht="15.75" customHeight="1" x14ac:dyDescent="0.15"/>
    <row r="425" s="5" customFormat="1" ht="15.75" customHeight="1" x14ac:dyDescent="0.15"/>
    <row r="426" s="5" customFormat="1" ht="15.75" customHeight="1" x14ac:dyDescent="0.15"/>
    <row r="427" s="5" customFormat="1" ht="15.75" customHeight="1" x14ac:dyDescent="0.15"/>
    <row r="428" s="5" customFormat="1" ht="15.75" customHeight="1" x14ac:dyDescent="0.15"/>
    <row r="429" s="5" customFormat="1" ht="15.75" customHeight="1" x14ac:dyDescent="0.15"/>
    <row r="430" s="5" customFormat="1" ht="15.75" customHeight="1" x14ac:dyDescent="0.15"/>
    <row r="431" s="5" customFormat="1" ht="15.75" customHeight="1" x14ac:dyDescent="0.15"/>
    <row r="432" s="5" customFormat="1" ht="15.75" customHeight="1" x14ac:dyDescent="0.15"/>
    <row r="433" s="5" customFormat="1" ht="15.75" customHeight="1" x14ac:dyDescent="0.15"/>
    <row r="434" s="5" customFormat="1" ht="15.75" customHeight="1" x14ac:dyDescent="0.15"/>
    <row r="435" s="5" customFormat="1" ht="15.75" customHeight="1" x14ac:dyDescent="0.15"/>
    <row r="436" s="5" customFormat="1" ht="15.75" customHeight="1" x14ac:dyDescent="0.15"/>
    <row r="437" s="5" customFormat="1" ht="15.75" customHeight="1" x14ac:dyDescent="0.15"/>
    <row r="438" s="5" customFormat="1" ht="15.75" customHeight="1" x14ac:dyDescent="0.15"/>
    <row r="439" s="5" customFormat="1" ht="15.75" customHeight="1" x14ac:dyDescent="0.15"/>
    <row r="440" s="5" customFormat="1" ht="15.75" customHeight="1" x14ac:dyDescent="0.15"/>
    <row r="441" s="5" customFormat="1" ht="15.75" customHeight="1" x14ac:dyDescent="0.15"/>
    <row r="442" s="5" customFormat="1" ht="15.75" customHeight="1" x14ac:dyDescent="0.15"/>
    <row r="443" s="5" customFormat="1" ht="15.75" customHeight="1" x14ac:dyDescent="0.15"/>
    <row r="444" s="5" customFormat="1" ht="15.75" customHeight="1" x14ac:dyDescent="0.15"/>
    <row r="445" s="5" customFormat="1" ht="15.75" customHeight="1" x14ac:dyDescent="0.15"/>
    <row r="446" s="5" customFormat="1" ht="15.75" customHeight="1" x14ac:dyDescent="0.15"/>
    <row r="447" s="5" customFormat="1" ht="15.75" customHeight="1" x14ac:dyDescent="0.15"/>
    <row r="448" s="5" customFormat="1" ht="15.75" customHeight="1" x14ac:dyDescent="0.15"/>
    <row r="449" s="5" customFormat="1" ht="15.75" customHeight="1" x14ac:dyDescent="0.15"/>
    <row r="450" s="5" customFormat="1" ht="15.75" customHeight="1" x14ac:dyDescent="0.15"/>
    <row r="451" s="5" customFormat="1" ht="15.75" customHeight="1" x14ac:dyDescent="0.15"/>
    <row r="452" s="5" customFormat="1" ht="15.75" customHeight="1" x14ac:dyDescent="0.15"/>
    <row r="453" s="5" customFormat="1" ht="15.75" customHeight="1" x14ac:dyDescent="0.15"/>
    <row r="454" s="5" customFormat="1" ht="15.75" customHeight="1" x14ac:dyDescent="0.15"/>
    <row r="455" s="5" customFormat="1" ht="15.75" customHeight="1" x14ac:dyDescent="0.15"/>
    <row r="456" s="5" customFormat="1" ht="15.75" customHeight="1" x14ac:dyDescent="0.15"/>
    <row r="457" s="5" customFormat="1" ht="15.75" customHeight="1" x14ac:dyDescent="0.15"/>
    <row r="458" s="5" customFormat="1" ht="15.75" customHeight="1" x14ac:dyDescent="0.15"/>
    <row r="459" s="5" customFormat="1" ht="15.75" customHeight="1" x14ac:dyDescent="0.15"/>
    <row r="460" s="5" customFormat="1" ht="15.75" customHeight="1" x14ac:dyDescent="0.15"/>
    <row r="461" s="5" customFormat="1" ht="15.75" customHeight="1" x14ac:dyDescent="0.15"/>
    <row r="462" s="5" customFormat="1" ht="15.75" customHeight="1" x14ac:dyDescent="0.15"/>
    <row r="463" s="5" customFormat="1" ht="15.75" customHeight="1" x14ac:dyDescent="0.15"/>
    <row r="464" s="5" customFormat="1" ht="15.75" customHeight="1" x14ac:dyDescent="0.15"/>
    <row r="465" s="5" customFormat="1" ht="15.75" customHeight="1" x14ac:dyDescent="0.15"/>
    <row r="466" s="5" customFormat="1" ht="15.75" customHeight="1" x14ac:dyDescent="0.15"/>
    <row r="467" s="5" customFormat="1" ht="15.75" customHeight="1" x14ac:dyDescent="0.15"/>
    <row r="468" s="5" customFormat="1" ht="15.75" customHeight="1" x14ac:dyDescent="0.15"/>
    <row r="469" s="5" customFormat="1" ht="15.75" customHeight="1" x14ac:dyDescent="0.15"/>
    <row r="470" s="5" customFormat="1" ht="15.75" customHeight="1" x14ac:dyDescent="0.15"/>
    <row r="471" s="5" customFormat="1" ht="15.75" customHeight="1" x14ac:dyDescent="0.15"/>
    <row r="472" s="5" customFormat="1" ht="15.75" customHeight="1" x14ac:dyDescent="0.15"/>
    <row r="473" s="5" customFormat="1" ht="15.75" customHeight="1" x14ac:dyDescent="0.15"/>
    <row r="474" s="5" customFormat="1" ht="15.75" customHeight="1" x14ac:dyDescent="0.15"/>
    <row r="475" s="5" customFormat="1" ht="15.75" customHeight="1" x14ac:dyDescent="0.15"/>
    <row r="476" s="5" customFormat="1" ht="15.75" customHeight="1" x14ac:dyDescent="0.15"/>
    <row r="477" s="5" customFormat="1" ht="15.75" customHeight="1" x14ac:dyDescent="0.15"/>
    <row r="478" s="5" customFormat="1" ht="15.75" customHeight="1" x14ac:dyDescent="0.15"/>
    <row r="479" s="5" customFormat="1" ht="15.75" customHeight="1" x14ac:dyDescent="0.15"/>
    <row r="480" s="5" customFormat="1" ht="15.75" customHeight="1" x14ac:dyDescent="0.15"/>
    <row r="481" s="5" customFormat="1" ht="15.75" customHeight="1" x14ac:dyDescent="0.15"/>
    <row r="482" s="5" customFormat="1" ht="15.75" customHeight="1" x14ac:dyDescent="0.15"/>
    <row r="483" s="5" customFormat="1" ht="15.75" customHeight="1" x14ac:dyDescent="0.15"/>
    <row r="484" s="5" customFormat="1" ht="15.75" customHeight="1" x14ac:dyDescent="0.15"/>
    <row r="485" s="5" customFormat="1" ht="15.75" customHeight="1" x14ac:dyDescent="0.15"/>
    <row r="486" s="5" customFormat="1" ht="15.75" customHeight="1" x14ac:dyDescent="0.15"/>
    <row r="487" s="5" customFormat="1" ht="15.75" customHeight="1" x14ac:dyDescent="0.15"/>
    <row r="488" s="5" customFormat="1" ht="15.75" customHeight="1" x14ac:dyDescent="0.15"/>
    <row r="489" s="5" customFormat="1" ht="15.75" customHeight="1" x14ac:dyDescent="0.15"/>
    <row r="490" s="5" customFormat="1" ht="15.75" customHeight="1" x14ac:dyDescent="0.15"/>
    <row r="491" s="5" customFormat="1" ht="15.75" customHeight="1" x14ac:dyDescent="0.15"/>
    <row r="492" s="5" customFormat="1" ht="15.75" customHeight="1" x14ac:dyDescent="0.15"/>
    <row r="493" s="5" customFormat="1" ht="15.75" customHeight="1" x14ac:dyDescent="0.15"/>
    <row r="494" s="5" customFormat="1" ht="15.75" customHeight="1" x14ac:dyDescent="0.15"/>
    <row r="495" s="5" customFormat="1" ht="15.75" customHeight="1" x14ac:dyDescent="0.15"/>
    <row r="496" s="5" customFormat="1" ht="15.75" customHeight="1" x14ac:dyDescent="0.15"/>
    <row r="497" s="5" customFormat="1" ht="15.75" customHeight="1" x14ac:dyDescent="0.15"/>
    <row r="498" s="5" customFormat="1" ht="15.75" customHeight="1" x14ac:dyDescent="0.15"/>
    <row r="499" s="5" customFormat="1" ht="15.75" customHeight="1" x14ac:dyDescent="0.15"/>
    <row r="500" s="5" customFormat="1" ht="15.75" customHeight="1" x14ac:dyDescent="0.15"/>
    <row r="501" s="5" customFormat="1" ht="15.75" customHeight="1" x14ac:dyDescent="0.15"/>
    <row r="502" s="5" customFormat="1" ht="15.75" customHeight="1" x14ac:dyDescent="0.15"/>
    <row r="503" s="5" customFormat="1" ht="15.75" customHeight="1" x14ac:dyDescent="0.15"/>
    <row r="504" s="5" customFormat="1" ht="15.75" customHeight="1" x14ac:dyDescent="0.15"/>
    <row r="505" s="5" customFormat="1" ht="15.75" customHeight="1" x14ac:dyDescent="0.15"/>
    <row r="506" s="5" customFormat="1" ht="15.75" customHeight="1" x14ac:dyDescent="0.15"/>
    <row r="507" s="5" customFormat="1" ht="15.75" customHeight="1" x14ac:dyDescent="0.15"/>
    <row r="508" s="5" customFormat="1" ht="15.75" customHeight="1" x14ac:dyDescent="0.15"/>
    <row r="509" s="5" customFormat="1" ht="15.75" customHeight="1" x14ac:dyDescent="0.15"/>
    <row r="510" s="5" customFormat="1" ht="15.75" customHeight="1" x14ac:dyDescent="0.15"/>
    <row r="511" s="5" customFormat="1" ht="15.75" customHeight="1" x14ac:dyDescent="0.15"/>
    <row r="512" s="5" customFormat="1" ht="15.75" customHeight="1" x14ac:dyDescent="0.15"/>
    <row r="513" s="5" customFormat="1" ht="15.75" customHeight="1" x14ac:dyDescent="0.15"/>
    <row r="514" s="5" customFormat="1" ht="15.75" customHeight="1" x14ac:dyDescent="0.15"/>
    <row r="515" s="5" customFormat="1" ht="15.75" customHeight="1" x14ac:dyDescent="0.15"/>
    <row r="516" s="5" customFormat="1" ht="15.75" customHeight="1" x14ac:dyDescent="0.15"/>
    <row r="517" s="5" customFormat="1" ht="15.75" customHeight="1" x14ac:dyDescent="0.15"/>
    <row r="518" s="5" customFormat="1" ht="15.75" customHeight="1" x14ac:dyDescent="0.15"/>
    <row r="519" s="5" customFormat="1" ht="15.75" customHeight="1" x14ac:dyDescent="0.15"/>
    <row r="520" s="5" customFormat="1" ht="15.75" customHeight="1" x14ac:dyDescent="0.15"/>
    <row r="521" s="5" customFormat="1" ht="15.75" customHeight="1" x14ac:dyDescent="0.15"/>
    <row r="522" s="5" customFormat="1" ht="15.75" customHeight="1" x14ac:dyDescent="0.15"/>
    <row r="523" s="5" customFormat="1" ht="15.75" customHeight="1" x14ac:dyDescent="0.15"/>
    <row r="524" s="5" customFormat="1" ht="15.75" customHeight="1" x14ac:dyDescent="0.15"/>
    <row r="525" s="5" customFormat="1" ht="15.75" customHeight="1" x14ac:dyDescent="0.15"/>
    <row r="526" s="5" customFormat="1" ht="15.75" customHeight="1" x14ac:dyDescent="0.15"/>
    <row r="527" s="5" customFormat="1" ht="15.75" customHeight="1" x14ac:dyDescent="0.15"/>
    <row r="528" s="5" customFormat="1" ht="15.75" customHeight="1" x14ac:dyDescent="0.15"/>
    <row r="529" s="5" customFormat="1" ht="15.75" customHeight="1" x14ac:dyDescent="0.15"/>
    <row r="530" s="5" customFormat="1" ht="15.75" customHeight="1" x14ac:dyDescent="0.15"/>
    <row r="531" s="5" customFormat="1" ht="15.75" customHeight="1" x14ac:dyDescent="0.15"/>
    <row r="532" s="5" customFormat="1" ht="15.75" customHeight="1" x14ac:dyDescent="0.15"/>
    <row r="533" s="5" customFormat="1" ht="15.75" customHeight="1" x14ac:dyDescent="0.15"/>
    <row r="534" s="5" customFormat="1" ht="15.75" customHeight="1" x14ac:dyDescent="0.15"/>
    <row r="535" s="5" customFormat="1" ht="15.75" customHeight="1" x14ac:dyDescent="0.15"/>
    <row r="536" s="5" customFormat="1" ht="15.75" customHeight="1" x14ac:dyDescent="0.15"/>
    <row r="537" s="5" customFormat="1" ht="15.75" customHeight="1" x14ac:dyDescent="0.15"/>
    <row r="538" s="5" customFormat="1" ht="15.75" customHeight="1" x14ac:dyDescent="0.15"/>
    <row r="539" s="5" customFormat="1" ht="15.75" customHeight="1" x14ac:dyDescent="0.15"/>
    <row r="540" s="5" customFormat="1" ht="15.75" customHeight="1" x14ac:dyDescent="0.15"/>
    <row r="541" s="5" customFormat="1" ht="15.75" customHeight="1" x14ac:dyDescent="0.15"/>
    <row r="542" s="5" customFormat="1" ht="15.75" customHeight="1" x14ac:dyDescent="0.15"/>
    <row r="543" s="5" customFormat="1" ht="15.75" customHeight="1" x14ac:dyDescent="0.15"/>
    <row r="544" s="5" customFormat="1" ht="15.75" customHeight="1" x14ac:dyDescent="0.15"/>
    <row r="545" s="5" customFormat="1" ht="15.75" customHeight="1" x14ac:dyDescent="0.15"/>
    <row r="546" s="5" customFormat="1" ht="15.75" customHeight="1" x14ac:dyDescent="0.15"/>
    <row r="547" s="5" customFormat="1" ht="15.75" customHeight="1" x14ac:dyDescent="0.15"/>
    <row r="548" s="5" customFormat="1" ht="15.75" customHeight="1" x14ac:dyDescent="0.15"/>
    <row r="549" s="5" customFormat="1" ht="15.75" customHeight="1" x14ac:dyDescent="0.15"/>
    <row r="550" s="5" customFormat="1" ht="15.75" customHeight="1" x14ac:dyDescent="0.15"/>
    <row r="551" s="5" customFormat="1" ht="15.75" customHeight="1" x14ac:dyDescent="0.15"/>
    <row r="552" s="5" customFormat="1" ht="15.75" customHeight="1" x14ac:dyDescent="0.15"/>
    <row r="553" s="5" customFormat="1" ht="15.75" customHeight="1" x14ac:dyDescent="0.15"/>
    <row r="554" s="5" customFormat="1" ht="15.75" customHeight="1" x14ac:dyDescent="0.15"/>
    <row r="555" s="5" customFormat="1" ht="15.75" customHeight="1" x14ac:dyDescent="0.15"/>
    <row r="556" s="5" customFormat="1" ht="15.75" customHeight="1" x14ac:dyDescent="0.15"/>
    <row r="557" s="5" customFormat="1" ht="15.75" customHeight="1" x14ac:dyDescent="0.15"/>
    <row r="558" s="5" customFormat="1" ht="15.75" customHeight="1" x14ac:dyDescent="0.15"/>
    <row r="559" s="5" customFormat="1" ht="15.75" customHeight="1" x14ac:dyDescent="0.15"/>
    <row r="560" s="5" customFormat="1" ht="15.75" customHeight="1" x14ac:dyDescent="0.15"/>
    <row r="561" s="5" customFormat="1" ht="15.75" customHeight="1" x14ac:dyDescent="0.15"/>
    <row r="562" s="5" customFormat="1" ht="15.75" customHeight="1" x14ac:dyDescent="0.15"/>
    <row r="563" s="5" customFormat="1" ht="15.75" customHeight="1" x14ac:dyDescent="0.15"/>
    <row r="564" s="5" customFormat="1" ht="15.75" customHeight="1" x14ac:dyDescent="0.15"/>
    <row r="565" s="5" customFormat="1" ht="15.75" customHeight="1" x14ac:dyDescent="0.15"/>
    <row r="566" s="5" customFormat="1" ht="15.75" customHeight="1" x14ac:dyDescent="0.15"/>
    <row r="567" s="5" customFormat="1" ht="15.75" customHeight="1" x14ac:dyDescent="0.15"/>
    <row r="568" s="5" customFormat="1" ht="15.75" customHeight="1" x14ac:dyDescent="0.15"/>
    <row r="569" s="5" customFormat="1" ht="15.75" customHeight="1" x14ac:dyDescent="0.15"/>
    <row r="570" s="5" customFormat="1" ht="15.75" customHeight="1" x14ac:dyDescent="0.15"/>
    <row r="571" s="5" customFormat="1" ht="15.75" customHeight="1" x14ac:dyDescent="0.15"/>
    <row r="572" s="5" customFormat="1" ht="15.75" customHeight="1" x14ac:dyDescent="0.15"/>
    <row r="573" s="5" customFormat="1" ht="15.75" customHeight="1" x14ac:dyDescent="0.15"/>
    <row r="574" s="5" customFormat="1" ht="15.75" customHeight="1" x14ac:dyDescent="0.15"/>
    <row r="575" s="5" customFormat="1" ht="15.75" customHeight="1" x14ac:dyDescent="0.15"/>
    <row r="576" s="5" customFormat="1" ht="15.75" customHeight="1" x14ac:dyDescent="0.15"/>
    <row r="577" s="5" customFormat="1" ht="15.75" customHeight="1" x14ac:dyDescent="0.15"/>
    <row r="578" s="5" customFormat="1" ht="15.75" customHeight="1" x14ac:dyDescent="0.15"/>
    <row r="579" s="5" customFormat="1" ht="15.75" customHeight="1" x14ac:dyDescent="0.15"/>
    <row r="580" s="5" customFormat="1" ht="15.75" customHeight="1" x14ac:dyDescent="0.15"/>
    <row r="581" s="5" customFormat="1" ht="15.75" customHeight="1" x14ac:dyDescent="0.15"/>
    <row r="582" s="5" customFormat="1" ht="15.75" customHeight="1" x14ac:dyDescent="0.15"/>
    <row r="583" s="5" customFormat="1" ht="15.75" customHeight="1" x14ac:dyDescent="0.15"/>
    <row r="584" s="5" customFormat="1" ht="15.75" customHeight="1" x14ac:dyDescent="0.15"/>
    <row r="585" s="5" customFormat="1" ht="15.75" customHeight="1" x14ac:dyDescent="0.15"/>
    <row r="586" s="5" customFormat="1" ht="15.75" customHeight="1" x14ac:dyDescent="0.15"/>
    <row r="587" s="5" customFormat="1" ht="15.75" customHeight="1" x14ac:dyDescent="0.15"/>
    <row r="588" s="5" customFormat="1" ht="15.75" customHeight="1" x14ac:dyDescent="0.15"/>
    <row r="589" s="5" customFormat="1" ht="15.75" customHeight="1" x14ac:dyDescent="0.15"/>
    <row r="590" s="5" customFormat="1" ht="15.75" customHeight="1" x14ac:dyDescent="0.15"/>
    <row r="591" s="5" customFormat="1" ht="15.75" customHeight="1" x14ac:dyDescent="0.15"/>
    <row r="592" s="5" customFormat="1" ht="15.75" customHeight="1" x14ac:dyDescent="0.15"/>
    <row r="593" s="5" customFormat="1" ht="15.75" customHeight="1" x14ac:dyDescent="0.15"/>
    <row r="594" s="5" customFormat="1" ht="15.75" customHeight="1" x14ac:dyDescent="0.15"/>
    <row r="595" s="5" customFormat="1" ht="15.75" customHeight="1" x14ac:dyDescent="0.15"/>
    <row r="596" s="5" customFormat="1" ht="15.75" customHeight="1" x14ac:dyDescent="0.15"/>
    <row r="597" s="5" customFormat="1" ht="15.75" customHeight="1" x14ac:dyDescent="0.15"/>
    <row r="598" s="5" customFormat="1" ht="15.75" customHeight="1" x14ac:dyDescent="0.15"/>
    <row r="599" s="5" customFormat="1" ht="15.75" customHeight="1" x14ac:dyDescent="0.15"/>
    <row r="600" s="5" customFormat="1" ht="15.75" customHeight="1" x14ac:dyDescent="0.15"/>
    <row r="601" s="5" customFormat="1" ht="15.75" customHeight="1" x14ac:dyDescent="0.15"/>
    <row r="602" s="5" customFormat="1" ht="15.75" customHeight="1" x14ac:dyDescent="0.15"/>
    <row r="603" s="5" customFormat="1" ht="15.75" customHeight="1" x14ac:dyDescent="0.15"/>
    <row r="604" s="5" customFormat="1" ht="15.75" customHeight="1" x14ac:dyDescent="0.15"/>
    <row r="605" s="5" customFormat="1" ht="15.75" customHeight="1" x14ac:dyDescent="0.15"/>
    <row r="606" s="5" customFormat="1" ht="15.75" customHeight="1" x14ac:dyDescent="0.15"/>
    <row r="607" s="5" customFormat="1" ht="15.75" customHeight="1" x14ac:dyDescent="0.15"/>
    <row r="608" s="5" customFormat="1" ht="15.75" customHeight="1" x14ac:dyDescent="0.15"/>
    <row r="609" s="5" customFormat="1" ht="15.75" customHeight="1" x14ac:dyDescent="0.15"/>
    <row r="610" s="5" customFormat="1" ht="15.75" customHeight="1" x14ac:dyDescent="0.15"/>
    <row r="611" s="5" customFormat="1" ht="15.75" customHeight="1" x14ac:dyDescent="0.15"/>
    <row r="612" s="5" customFormat="1" ht="15.75" customHeight="1" x14ac:dyDescent="0.15"/>
    <row r="613" s="5" customFormat="1" ht="15.75" customHeight="1" x14ac:dyDescent="0.15"/>
    <row r="614" s="5" customFormat="1" ht="15.75" customHeight="1" x14ac:dyDescent="0.15"/>
    <row r="615" s="5" customFormat="1" ht="15.75" customHeight="1" x14ac:dyDescent="0.15"/>
    <row r="616" s="5" customFormat="1" ht="15.75" customHeight="1" x14ac:dyDescent="0.15"/>
    <row r="617" s="5" customFormat="1" ht="15.75" customHeight="1" x14ac:dyDescent="0.15"/>
    <row r="618" s="5" customFormat="1" ht="15.75" customHeight="1" x14ac:dyDescent="0.15"/>
    <row r="619" s="5" customFormat="1" ht="15.75" customHeight="1" x14ac:dyDescent="0.15"/>
    <row r="620" s="5" customFormat="1" ht="15.75" customHeight="1" x14ac:dyDescent="0.15"/>
    <row r="621" s="5" customFormat="1" ht="15.75" customHeight="1" x14ac:dyDescent="0.15"/>
    <row r="622" s="5" customFormat="1" ht="15.75" customHeight="1" x14ac:dyDescent="0.15"/>
    <row r="623" s="5" customFormat="1" ht="15.75" customHeight="1" x14ac:dyDescent="0.15"/>
    <row r="624" s="5" customFormat="1" ht="15.75" customHeight="1" x14ac:dyDescent="0.15"/>
    <row r="625" s="5" customFormat="1" ht="15.75" customHeight="1" x14ac:dyDescent="0.15"/>
    <row r="626" s="5" customFormat="1" ht="15.75" customHeight="1" x14ac:dyDescent="0.15"/>
    <row r="627" s="5" customFormat="1" ht="15.75" customHeight="1" x14ac:dyDescent="0.15"/>
    <row r="628" s="5" customFormat="1" ht="15.75" customHeight="1" x14ac:dyDescent="0.15"/>
    <row r="629" s="5" customFormat="1" ht="15.75" customHeight="1" x14ac:dyDescent="0.15"/>
    <row r="630" s="5" customFormat="1" ht="15.75" customHeight="1" x14ac:dyDescent="0.15"/>
    <row r="631" s="5" customFormat="1" ht="15.75" customHeight="1" x14ac:dyDescent="0.15"/>
    <row r="632" s="5" customFormat="1" ht="15.75" customHeight="1" x14ac:dyDescent="0.15"/>
    <row r="633" s="5" customFormat="1" ht="15.75" customHeight="1" x14ac:dyDescent="0.15"/>
    <row r="634" s="5" customFormat="1" ht="15.75" customHeight="1" x14ac:dyDescent="0.15"/>
    <row r="635" s="5" customFormat="1" ht="15.75" customHeight="1" x14ac:dyDescent="0.15"/>
    <row r="636" s="5" customFormat="1" ht="15.75" customHeight="1" x14ac:dyDescent="0.15"/>
    <row r="637" s="5" customFormat="1" ht="15.75" customHeight="1" x14ac:dyDescent="0.15"/>
    <row r="638" s="5" customFormat="1" ht="15.75" customHeight="1" x14ac:dyDescent="0.15"/>
    <row r="639" s="5" customFormat="1" ht="15.75" customHeight="1" x14ac:dyDescent="0.15"/>
    <row r="640" s="5" customFormat="1" ht="15.75" customHeight="1" x14ac:dyDescent="0.15"/>
    <row r="641" s="5" customFormat="1" ht="15.75" customHeight="1" x14ac:dyDescent="0.15"/>
    <row r="642" s="5" customFormat="1" ht="15.75" customHeight="1" x14ac:dyDescent="0.15"/>
    <row r="643" s="5" customFormat="1" ht="15.75" customHeight="1" x14ac:dyDescent="0.15"/>
    <row r="644" s="5" customFormat="1" ht="15.75" customHeight="1" x14ac:dyDescent="0.15"/>
    <row r="645" s="5" customFormat="1" ht="15.75" customHeight="1" x14ac:dyDescent="0.15"/>
    <row r="646" s="5" customFormat="1" ht="15.75" customHeight="1" x14ac:dyDescent="0.15"/>
    <row r="647" s="5" customFormat="1" ht="15.75" customHeight="1" x14ac:dyDescent="0.15"/>
    <row r="648" s="5" customFormat="1" ht="15.75" customHeight="1" x14ac:dyDescent="0.15"/>
    <row r="649" s="5" customFormat="1" ht="15.75" customHeight="1" x14ac:dyDescent="0.15"/>
    <row r="650" s="5" customFormat="1" ht="15.75" customHeight="1" x14ac:dyDescent="0.15"/>
    <row r="651" s="5" customFormat="1" ht="15.75" customHeight="1" x14ac:dyDescent="0.15"/>
    <row r="652" s="5" customFormat="1" ht="15.75" customHeight="1" x14ac:dyDescent="0.15"/>
    <row r="653" s="5" customFormat="1" ht="15.75" customHeight="1" x14ac:dyDescent="0.15"/>
    <row r="654" s="5" customFormat="1" ht="15.75" customHeight="1" x14ac:dyDescent="0.15"/>
    <row r="655" s="5" customFormat="1" ht="15.75" customHeight="1" x14ac:dyDescent="0.15"/>
    <row r="656" s="5" customFormat="1" ht="15.75" customHeight="1" x14ac:dyDescent="0.15"/>
    <row r="657" s="5" customFormat="1" ht="15.75" customHeight="1" x14ac:dyDescent="0.15"/>
    <row r="658" s="5" customFormat="1" ht="15.75" customHeight="1" x14ac:dyDescent="0.15"/>
    <row r="659" s="5" customFormat="1" ht="15.75" customHeight="1" x14ac:dyDescent="0.15"/>
    <row r="660" s="5" customFormat="1" ht="15.75" customHeight="1" x14ac:dyDescent="0.15"/>
    <row r="661" s="5" customFormat="1" ht="15.75" customHeight="1" x14ac:dyDescent="0.15"/>
    <row r="662" s="5" customFormat="1" ht="15.75" customHeight="1" x14ac:dyDescent="0.15"/>
    <row r="663" s="5" customFormat="1" ht="15.75" customHeight="1" x14ac:dyDescent="0.15"/>
    <row r="664" s="5" customFormat="1" ht="15.75" customHeight="1" x14ac:dyDescent="0.15"/>
    <row r="665" s="5" customFormat="1" ht="15.75" customHeight="1" x14ac:dyDescent="0.15"/>
    <row r="666" s="5" customFormat="1" ht="15.75" customHeight="1" x14ac:dyDescent="0.15"/>
    <row r="667" s="5" customFormat="1" ht="15.75" customHeight="1" x14ac:dyDescent="0.15"/>
    <row r="668" s="5" customFormat="1" ht="15.75" customHeight="1" x14ac:dyDescent="0.15"/>
    <row r="669" s="5" customFormat="1" ht="15.75" customHeight="1" x14ac:dyDescent="0.15"/>
    <row r="670" s="5" customFormat="1" ht="15.75" customHeight="1" x14ac:dyDescent="0.15"/>
    <row r="671" s="5" customFormat="1" ht="15.75" customHeight="1" x14ac:dyDescent="0.15"/>
    <row r="672" s="5" customFormat="1" ht="15.75" customHeight="1" x14ac:dyDescent="0.15"/>
    <row r="673" s="5" customFormat="1" ht="15.75" customHeight="1" x14ac:dyDescent="0.15"/>
    <row r="674" s="5" customFormat="1" ht="15.75" customHeight="1" x14ac:dyDescent="0.15"/>
    <row r="675" s="5" customFormat="1" ht="15.75" customHeight="1" x14ac:dyDescent="0.15"/>
    <row r="676" s="5" customFormat="1" ht="15.75" customHeight="1" x14ac:dyDescent="0.15"/>
    <row r="677" s="5" customFormat="1" ht="15.75" customHeight="1" x14ac:dyDescent="0.15"/>
    <row r="678" s="5" customFormat="1" ht="15.75" customHeight="1" x14ac:dyDescent="0.15"/>
    <row r="679" s="5" customFormat="1" ht="15.75" customHeight="1" x14ac:dyDescent="0.15"/>
    <row r="680" s="5" customFormat="1" ht="15.75" customHeight="1" x14ac:dyDescent="0.15"/>
    <row r="681" s="5" customFormat="1" ht="15.75" customHeight="1" x14ac:dyDescent="0.15"/>
    <row r="682" s="5" customFormat="1" ht="15.75" customHeight="1" x14ac:dyDescent="0.15"/>
    <row r="683" s="5" customFormat="1" ht="15.75" customHeight="1" x14ac:dyDescent="0.15"/>
    <row r="684" s="5" customFormat="1" ht="15.75" customHeight="1" x14ac:dyDescent="0.15"/>
    <row r="685" s="5" customFormat="1" ht="15.75" customHeight="1" x14ac:dyDescent="0.15"/>
    <row r="686" s="5" customFormat="1" ht="15.75" customHeight="1" x14ac:dyDescent="0.15"/>
    <row r="687" s="5" customFormat="1" ht="15.75" customHeight="1" x14ac:dyDescent="0.15"/>
    <row r="688" s="5" customFormat="1" ht="15.75" customHeight="1" x14ac:dyDescent="0.15"/>
    <row r="689" s="5" customFormat="1" ht="15.75" customHeight="1" x14ac:dyDescent="0.15"/>
    <row r="690" s="5" customFormat="1" ht="15.75" customHeight="1" x14ac:dyDescent="0.15"/>
    <row r="691" s="5" customFormat="1" ht="15.75" customHeight="1" x14ac:dyDescent="0.15"/>
    <row r="692" s="5" customFormat="1" ht="15.75" customHeight="1" x14ac:dyDescent="0.15"/>
    <row r="693" s="5" customFormat="1" ht="15.75" customHeight="1" x14ac:dyDescent="0.15"/>
    <row r="694" s="5" customFormat="1" ht="15.75" customHeight="1" x14ac:dyDescent="0.15"/>
    <row r="695" s="5" customFormat="1" ht="15.75" customHeight="1" x14ac:dyDescent="0.15"/>
    <row r="696" s="5" customFormat="1" ht="15.75" customHeight="1" x14ac:dyDescent="0.15"/>
    <row r="697" s="5" customFormat="1" ht="15.75" customHeight="1" x14ac:dyDescent="0.15"/>
    <row r="698" s="5" customFormat="1" ht="15.75" customHeight="1" x14ac:dyDescent="0.15"/>
    <row r="699" s="5" customFormat="1" ht="15.75" customHeight="1" x14ac:dyDescent="0.15"/>
    <row r="700" s="5" customFormat="1" ht="15.75" customHeight="1" x14ac:dyDescent="0.15"/>
    <row r="701" s="5" customFormat="1" ht="15.75" customHeight="1" x14ac:dyDescent="0.15"/>
    <row r="702" s="5" customFormat="1" ht="15.75" customHeight="1" x14ac:dyDescent="0.15"/>
    <row r="703" s="5" customFormat="1" ht="15.75" customHeight="1" x14ac:dyDescent="0.15"/>
    <row r="704" s="5" customFormat="1" ht="15.75" customHeight="1" x14ac:dyDescent="0.15"/>
    <row r="705" s="5" customFormat="1" ht="15.75" customHeight="1" x14ac:dyDescent="0.15"/>
    <row r="706" s="5" customFormat="1" ht="15.75" customHeight="1" x14ac:dyDescent="0.15"/>
    <row r="707" s="5" customFormat="1" ht="15.75" customHeight="1" x14ac:dyDescent="0.15"/>
    <row r="708" s="5" customFormat="1" ht="15.75" customHeight="1" x14ac:dyDescent="0.15"/>
    <row r="709" s="5" customFormat="1" ht="15.75" customHeight="1" x14ac:dyDescent="0.15"/>
    <row r="710" s="5" customFormat="1" ht="15.75" customHeight="1" x14ac:dyDescent="0.15"/>
    <row r="711" s="5" customFormat="1" ht="15.75" customHeight="1" x14ac:dyDescent="0.15"/>
    <row r="712" s="5" customFormat="1" ht="15.75" customHeight="1" x14ac:dyDescent="0.15"/>
    <row r="713" s="5" customFormat="1" ht="15.75" customHeight="1" x14ac:dyDescent="0.15"/>
    <row r="714" s="5" customFormat="1" ht="15.75" customHeight="1" x14ac:dyDescent="0.15"/>
    <row r="715" s="5" customFormat="1" ht="15.75" customHeight="1" x14ac:dyDescent="0.15"/>
    <row r="716" s="5" customFormat="1" ht="15.75" customHeight="1" x14ac:dyDescent="0.15"/>
    <row r="717" s="5" customFormat="1" ht="15.75" customHeight="1" x14ac:dyDescent="0.15"/>
    <row r="718" s="5" customFormat="1" ht="15.75" customHeight="1" x14ac:dyDescent="0.15"/>
    <row r="719" s="5" customFormat="1" ht="15.75" customHeight="1" x14ac:dyDescent="0.15"/>
    <row r="720" s="5" customFormat="1" ht="15.75" customHeight="1" x14ac:dyDescent="0.15"/>
    <row r="721" s="5" customFormat="1" ht="15.75" customHeight="1" x14ac:dyDescent="0.15"/>
    <row r="722" s="5" customFormat="1" ht="15.75" customHeight="1" x14ac:dyDescent="0.15"/>
    <row r="723" s="5" customFormat="1" ht="15.75" customHeight="1" x14ac:dyDescent="0.15"/>
    <row r="724" s="5" customFormat="1" ht="15.75" customHeight="1" x14ac:dyDescent="0.15"/>
    <row r="725" s="5" customFormat="1" ht="15.75" customHeight="1" x14ac:dyDescent="0.15"/>
    <row r="726" s="5" customFormat="1" ht="15.75" customHeight="1" x14ac:dyDescent="0.15"/>
    <row r="727" s="5" customFormat="1" ht="15.75" customHeight="1" x14ac:dyDescent="0.15"/>
    <row r="728" s="5" customFormat="1" ht="15.75" customHeight="1" x14ac:dyDescent="0.15"/>
    <row r="729" s="5" customFormat="1" ht="15.75" customHeight="1" x14ac:dyDescent="0.15"/>
    <row r="730" s="5" customFormat="1" ht="15.75" customHeight="1" x14ac:dyDescent="0.15"/>
    <row r="731" s="5" customFormat="1" ht="15.75" customHeight="1" x14ac:dyDescent="0.15"/>
    <row r="732" s="5" customFormat="1" ht="15.75" customHeight="1" x14ac:dyDescent="0.15"/>
    <row r="733" s="5" customFormat="1" ht="15.75" customHeight="1" x14ac:dyDescent="0.15"/>
    <row r="734" s="5" customFormat="1" ht="15.75" customHeight="1" x14ac:dyDescent="0.15"/>
    <row r="735" s="5" customFormat="1" ht="15.75" customHeight="1" x14ac:dyDescent="0.15"/>
    <row r="736" s="5" customFormat="1" ht="15.75" customHeight="1" x14ac:dyDescent="0.15"/>
    <row r="737" s="5" customFormat="1" ht="15.75" customHeight="1" x14ac:dyDescent="0.15"/>
    <row r="738" s="5" customFormat="1" ht="15.75" customHeight="1" x14ac:dyDescent="0.15"/>
    <row r="739" s="5" customFormat="1" ht="15.75" customHeight="1" x14ac:dyDescent="0.15"/>
    <row r="740" s="5" customFormat="1" ht="15.75" customHeight="1" x14ac:dyDescent="0.15"/>
    <row r="741" s="5" customFormat="1" ht="15.75" customHeight="1" x14ac:dyDescent="0.15"/>
    <row r="742" s="5" customFormat="1" ht="15.75" customHeight="1" x14ac:dyDescent="0.15"/>
    <row r="743" s="5" customFormat="1" ht="15.75" customHeight="1" x14ac:dyDescent="0.15"/>
    <row r="744" s="5" customFormat="1" ht="15.75" customHeight="1" x14ac:dyDescent="0.15"/>
    <row r="745" s="5" customFormat="1" ht="15.75" customHeight="1" x14ac:dyDescent="0.15"/>
    <row r="746" s="5" customFormat="1" ht="15.75" customHeight="1" x14ac:dyDescent="0.15"/>
    <row r="747" s="5" customFormat="1" ht="15.75" customHeight="1" x14ac:dyDescent="0.15"/>
    <row r="748" s="5" customFormat="1" ht="15.75" customHeight="1" x14ac:dyDescent="0.15"/>
    <row r="749" s="5" customFormat="1" ht="15.75" customHeight="1" x14ac:dyDescent="0.15"/>
    <row r="750" s="5" customFormat="1" ht="15.75" customHeight="1" x14ac:dyDescent="0.15"/>
    <row r="751" s="5" customFormat="1" ht="15.75" customHeight="1" x14ac:dyDescent="0.15"/>
    <row r="752" s="5" customFormat="1" ht="15.75" customHeight="1" x14ac:dyDescent="0.15"/>
    <row r="753" s="5" customFormat="1" ht="15.75" customHeight="1" x14ac:dyDescent="0.15"/>
    <row r="754" s="5" customFormat="1" ht="15.75" customHeight="1" x14ac:dyDescent="0.15"/>
    <row r="755" s="5" customFormat="1" ht="15.75" customHeight="1" x14ac:dyDescent="0.15"/>
    <row r="756" s="5" customFormat="1" ht="15.75" customHeight="1" x14ac:dyDescent="0.15"/>
    <row r="757" s="5" customFormat="1" ht="15.75" customHeight="1" x14ac:dyDescent="0.15"/>
    <row r="758" s="5" customFormat="1" ht="15.75" customHeight="1" x14ac:dyDescent="0.15"/>
    <row r="759" s="5" customFormat="1" ht="15.75" customHeight="1" x14ac:dyDescent="0.15"/>
    <row r="760" s="5" customFormat="1" ht="15.75" customHeight="1" x14ac:dyDescent="0.15"/>
    <row r="761" s="5" customFormat="1" ht="15.75" customHeight="1" x14ac:dyDescent="0.15"/>
    <row r="762" s="5" customFormat="1" ht="15.75" customHeight="1" x14ac:dyDescent="0.15"/>
    <row r="763" s="5" customFormat="1" ht="15.75" customHeight="1" x14ac:dyDescent="0.15"/>
    <row r="764" s="5" customFormat="1" ht="15.75" customHeight="1" x14ac:dyDescent="0.15"/>
    <row r="765" s="5" customFormat="1" ht="15.75" customHeight="1" x14ac:dyDescent="0.15"/>
    <row r="766" s="5" customFormat="1" ht="15.75" customHeight="1" x14ac:dyDescent="0.15"/>
    <row r="767" s="5" customFormat="1" ht="15.75" customHeight="1" x14ac:dyDescent="0.15"/>
    <row r="768" s="5" customFormat="1" ht="15.75" customHeight="1" x14ac:dyDescent="0.15"/>
    <row r="769" s="5" customFormat="1" ht="15.75" customHeight="1" x14ac:dyDescent="0.15"/>
    <row r="770" s="5" customFormat="1" ht="15.75" customHeight="1" x14ac:dyDescent="0.15"/>
    <row r="771" s="5" customFormat="1" ht="15.75" customHeight="1" x14ac:dyDescent="0.15"/>
    <row r="772" s="5" customFormat="1" ht="15.75" customHeight="1" x14ac:dyDescent="0.15"/>
    <row r="773" s="5" customFormat="1" ht="15.75" customHeight="1" x14ac:dyDescent="0.15"/>
    <row r="774" s="5" customFormat="1" ht="15.75" customHeight="1" x14ac:dyDescent="0.15"/>
    <row r="775" s="5" customFormat="1" ht="15.75" customHeight="1" x14ac:dyDescent="0.15"/>
    <row r="776" s="5" customFormat="1" ht="15.75" customHeight="1" x14ac:dyDescent="0.15"/>
    <row r="777" s="5" customFormat="1" ht="15.75" customHeight="1" x14ac:dyDescent="0.15"/>
    <row r="778" s="5" customFormat="1" ht="15.75" customHeight="1" x14ac:dyDescent="0.15"/>
    <row r="779" s="5" customFormat="1" ht="15.75" customHeight="1" x14ac:dyDescent="0.15"/>
    <row r="780" s="5" customFormat="1" ht="15.75" customHeight="1" x14ac:dyDescent="0.15"/>
    <row r="781" s="5" customFormat="1" ht="15.75" customHeight="1" x14ac:dyDescent="0.15"/>
    <row r="782" s="5" customFormat="1" ht="15.75" customHeight="1" x14ac:dyDescent="0.15"/>
    <row r="783" s="5" customFormat="1" ht="15.75" customHeight="1" x14ac:dyDescent="0.15"/>
    <row r="784" s="5" customFormat="1" ht="15.75" customHeight="1" x14ac:dyDescent="0.15"/>
    <row r="785" s="5" customFormat="1" ht="15.75" customHeight="1" x14ac:dyDescent="0.15"/>
    <row r="786" s="5" customFormat="1" ht="15.75" customHeight="1" x14ac:dyDescent="0.15"/>
    <row r="787" s="5" customFormat="1" ht="15.75" customHeight="1" x14ac:dyDescent="0.15"/>
    <row r="788" s="5" customFormat="1" ht="15.75" customHeight="1" x14ac:dyDescent="0.15"/>
    <row r="789" s="5" customFormat="1" ht="15.75" customHeight="1" x14ac:dyDescent="0.15"/>
    <row r="790" s="5" customFormat="1" ht="15.75" customHeight="1" x14ac:dyDescent="0.15"/>
    <row r="791" s="5" customFormat="1" ht="15.75" customHeight="1" x14ac:dyDescent="0.15"/>
    <row r="792" s="5" customFormat="1" ht="15.75" customHeight="1" x14ac:dyDescent="0.15"/>
    <row r="793" s="5" customFormat="1" ht="15.75" customHeight="1" x14ac:dyDescent="0.15"/>
    <row r="794" s="5" customFormat="1" ht="15.75" customHeight="1" x14ac:dyDescent="0.15"/>
    <row r="795" s="5" customFormat="1" ht="15.75" customHeight="1" x14ac:dyDescent="0.15"/>
    <row r="796" s="5" customFormat="1" ht="15.75" customHeight="1" x14ac:dyDescent="0.15"/>
    <row r="797" s="5" customFormat="1" ht="15.75" customHeight="1" x14ac:dyDescent="0.15"/>
    <row r="798" s="5" customFormat="1" ht="15.75" customHeight="1" x14ac:dyDescent="0.15"/>
    <row r="799" s="5" customFormat="1" ht="15.75" customHeight="1" x14ac:dyDescent="0.15"/>
    <row r="800" s="5" customFormat="1" ht="15.75" customHeight="1" x14ac:dyDescent="0.15"/>
    <row r="801" s="5" customFormat="1" ht="15.75" customHeight="1" x14ac:dyDescent="0.15"/>
    <row r="802" s="5" customFormat="1" ht="15.75" customHeight="1" x14ac:dyDescent="0.15"/>
    <row r="803" s="5" customFormat="1" ht="15.75" customHeight="1" x14ac:dyDescent="0.15"/>
    <row r="804" s="5" customFormat="1" ht="15.75" customHeight="1" x14ac:dyDescent="0.15"/>
    <row r="805" s="5" customFormat="1" ht="15.75" customHeight="1" x14ac:dyDescent="0.15"/>
    <row r="806" s="5" customFormat="1" ht="15.75" customHeight="1" x14ac:dyDescent="0.15"/>
    <row r="807" s="5" customFormat="1" ht="15.75" customHeight="1" x14ac:dyDescent="0.15"/>
    <row r="808" s="5" customFormat="1" ht="15.75" customHeight="1" x14ac:dyDescent="0.15"/>
    <row r="809" s="5" customFormat="1" ht="15.75" customHeight="1" x14ac:dyDescent="0.15"/>
    <row r="810" s="5" customFormat="1" ht="15.75" customHeight="1" x14ac:dyDescent="0.15"/>
    <row r="811" s="5" customFormat="1" ht="15.75" customHeight="1" x14ac:dyDescent="0.15"/>
    <row r="812" s="5" customFormat="1" ht="15.75" customHeight="1" x14ac:dyDescent="0.15"/>
    <row r="813" s="5" customFormat="1" ht="15.75" customHeight="1" x14ac:dyDescent="0.15"/>
    <row r="814" s="5" customFormat="1" ht="15.75" customHeight="1" x14ac:dyDescent="0.15"/>
    <row r="815" s="5" customFormat="1" ht="15.75" customHeight="1" x14ac:dyDescent="0.15"/>
    <row r="816" s="5" customFormat="1" ht="15.75" customHeight="1" x14ac:dyDescent="0.15"/>
    <row r="817" s="5" customFormat="1" ht="15.75" customHeight="1" x14ac:dyDescent="0.15"/>
    <row r="818" s="5" customFormat="1" ht="15.75" customHeight="1" x14ac:dyDescent="0.15"/>
    <row r="819" s="5" customFormat="1" ht="15.75" customHeight="1" x14ac:dyDescent="0.15"/>
    <row r="820" s="5" customFormat="1" ht="15.75" customHeight="1" x14ac:dyDescent="0.15"/>
    <row r="821" s="5" customFormat="1" ht="15.75" customHeight="1" x14ac:dyDescent="0.15"/>
    <row r="822" s="5" customFormat="1" ht="15.75" customHeight="1" x14ac:dyDescent="0.15"/>
    <row r="823" s="5" customFormat="1" ht="15.75" customHeight="1" x14ac:dyDescent="0.15"/>
    <row r="824" s="5" customFormat="1" ht="15.75" customHeight="1" x14ac:dyDescent="0.15"/>
    <row r="825" s="5" customFormat="1" ht="15.75" customHeight="1" x14ac:dyDescent="0.15"/>
    <row r="826" s="5" customFormat="1" ht="15.75" customHeight="1" x14ac:dyDescent="0.15"/>
    <row r="827" s="5" customFormat="1" ht="15.75" customHeight="1" x14ac:dyDescent="0.15"/>
    <row r="828" s="5" customFormat="1" ht="15.75" customHeight="1" x14ac:dyDescent="0.15"/>
    <row r="829" s="5" customFormat="1" ht="15.75" customHeight="1" x14ac:dyDescent="0.15"/>
    <row r="830" s="5" customFormat="1" ht="15.75" customHeight="1" x14ac:dyDescent="0.15"/>
    <row r="831" s="5" customFormat="1" ht="15.75" customHeight="1" x14ac:dyDescent="0.15"/>
    <row r="832" s="5" customFormat="1" ht="15.75" customHeight="1" x14ac:dyDescent="0.15"/>
    <row r="833" s="5" customFormat="1" ht="15.75" customHeight="1" x14ac:dyDescent="0.15"/>
    <row r="834" s="5" customFormat="1" ht="15.75" customHeight="1" x14ac:dyDescent="0.15"/>
    <row r="835" s="5" customFormat="1" ht="15.75" customHeight="1" x14ac:dyDescent="0.15"/>
    <row r="836" s="5" customFormat="1" ht="15.75" customHeight="1" x14ac:dyDescent="0.15"/>
    <row r="837" s="5" customFormat="1" ht="15.75" customHeight="1" x14ac:dyDescent="0.15"/>
    <row r="838" s="5" customFormat="1" ht="15.75" customHeight="1" x14ac:dyDescent="0.15"/>
    <row r="839" s="5" customFormat="1" ht="15.75" customHeight="1" x14ac:dyDescent="0.15"/>
    <row r="840" s="5" customFormat="1" ht="15.75" customHeight="1" x14ac:dyDescent="0.15"/>
    <row r="841" s="5" customFormat="1" ht="15.75" customHeight="1" x14ac:dyDescent="0.15"/>
    <row r="842" s="5" customFormat="1" ht="15.75" customHeight="1" x14ac:dyDescent="0.15"/>
    <row r="843" s="5" customFormat="1" ht="15.75" customHeight="1" x14ac:dyDescent="0.15"/>
    <row r="844" s="5" customFormat="1" ht="15.75" customHeight="1" x14ac:dyDescent="0.15"/>
    <row r="845" s="5" customFormat="1" ht="15.75" customHeight="1" x14ac:dyDescent="0.15"/>
    <row r="846" s="5" customFormat="1" ht="15.75" customHeight="1" x14ac:dyDescent="0.15"/>
    <row r="847" s="5" customFormat="1" ht="15.75" customHeight="1" x14ac:dyDescent="0.15"/>
    <row r="848" s="5" customFormat="1" ht="15.75" customHeight="1" x14ac:dyDescent="0.15"/>
    <row r="849" s="5" customFormat="1" ht="15.75" customHeight="1" x14ac:dyDescent="0.15"/>
    <row r="850" s="5" customFormat="1" ht="15.75" customHeight="1" x14ac:dyDescent="0.15"/>
    <row r="851" s="5" customFormat="1" ht="15.75" customHeight="1" x14ac:dyDescent="0.15"/>
    <row r="852" s="5" customFormat="1" ht="15.75" customHeight="1" x14ac:dyDescent="0.15"/>
    <row r="853" s="5" customFormat="1" ht="15.75" customHeight="1" x14ac:dyDescent="0.15"/>
    <row r="854" s="5" customFormat="1" ht="15.75" customHeight="1" x14ac:dyDescent="0.15"/>
    <row r="855" s="5" customFormat="1" ht="15.75" customHeight="1" x14ac:dyDescent="0.15"/>
    <row r="856" s="5" customFormat="1" ht="15.75" customHeight="1" x14ac:dyDescent="0.15"/>
    <row r="857" s="5" customFormat="1" ht="15.75" customHeight="1" x14ac:dyDescent="0.15"/>
    <row r="858" s="5" customFormat="1" ht="15.75" customHeight="1" x14ac:dyDescent="0.15"/>
    <row r="859" s="5" customFormat="1" ht="15.75" customHeight="1" x14ac:dyDescent="0.15"/>
    <row r="860" s="5" customFormat="1" ht="15.75" customHeight="1" x14ac:dyDescent="0.15"/>
    <row r="861" s="5" customFormat="1" ht="15.75" customHeight="1" x14ac:dyDescent="0.15"/>
    <row r="862" s="5" customFormat="1" ht="15.75" customHeight="1" x14ac:dyDescent="0.15"/>
    <row r="863" s="5" customFormat="1" ht="15.75" customHeight="1" x14ac:dyDescent="0.15"/>
    <row r="864" s="5" customFormat="1" ht="15.75" customHeight="1" x14ac:dyDescent="0.15"/>
    <row r="865" s="5" customFormat="1" ht="15.75" customHeight="1" x14ac:dyDescent="0.15"/>
    <row r="866" s="5" customFormat="1" ht="15.75" customHeight="1" x14ac:dyDescent="0.15"/>
    <row r="867" s="5" customFormat="1" ht="15.75" customHeight="1" x14ac:dyDescent="0.15"/>
    <row r="868" s="5" customFormat="1" ht="15.75" customHeight="1" x14ac:dyDescent="0.15"/>
    <row r="869" s="5" customFormat="1" ht="15.75" customHeight="1" x14ac:dyDescent="0.15"/>
    <row r="870" s="5" customFormat="1" ht="15.75" customHeight="1" x14ac:dyDescent="0.15"/>
    <row r="871" s="5" customFormat="1" ht="15.75" customHeight="1" x14ac:dyDescent="0.15"/>
    <row r="872" s="5" customFormat="1" ht="15.75" customHeight="1" x14ac:dyDescent="0.15"/>
    <row r="873" s="5" customFormat="1" ht="15.75" customHeight="1" x14ac:dyDescent="0.15"/>
    <row r="874" s="5" customFormat="1" ht="15.75" customHeight="1" x14ac:dyDescent="0.15"/>
    <row r="875" s="5" customFormat="1" ht="15.75" customHeight="1" x14ac:dyDescent="0.15"/>
    <row r="876" s="5" customFormat="1" ht="15.75" customHeight="1" x14ac:dyDescent="0.15"/>
    <row r="877" s="5" customFormat="1" ht="15.75" customHeight="1" x14ac:dyDescent="0.15"/>
    <row r="878" s="5" customFormat="1" ht="15.75" customHeight="1" x14ac:dyDescent="0.15"/>
    <row r="879" s="5" customFormat="1" ht="15.75" customHeight="1" x14ac:dyDescent="0.15"/>
    <row r="880" s="5" customFormat="1" ht="15.75" customHeight="1" x14ac:dyDescent="0.15"/>
    <row r="881" s="5" customFormat="1" ht="15.75" customHeight="1" x14ac:dyDescent="0.15"/>
    <row r="882" s="5" customFormat="1" ht="15.75" customHeight="1" x14ac:dyDescent="0.15"/>
    <row r="883" s="5" customFormat="1" ht="15.75" customHeight="1" x14ac:dyDescent="0.15"/>
    <row r="884" s="5" customFormat="1" ht="15.75" customHeight="1" x14ac:dyDescent="0.15"/>
    <row r="885" s="5" customFormat="1" ht="15.75" customHeight="1" x14ac:dyDescent="0.15"/>
    <row r="886" s="5" customFormat="1" ht="15.75" customHeight="1" x14ac:dyDescent="0.15"/>
    <row r="887" s="5" customFormat="1" ht="15.75" customHeight="1" x14ac:dyDescent="0.15"/>
    <row r="888" s="5" customFormat="1" ht="15.75" customHeight="1" x14ac:dyDescent="0.15"/>
    <row r="889" s="5" customFormat="1" ht="15.75" customHeight="1" x14ac:dyDescent="0.15"/>
    <row r="890" s="5" customFormat="1" ht="15.75" customHeight="1" x14ac:dyDescent="0.15"/>
    <row r="891" s="5" customFormat="1" ht="15.75" customHeight="1" x14ac:dyDescent="0.15"/>
    <row r="892" s="5" customFormat="1" ht="15.75" customHeight="1" x14ac:dyDescent="0.15"/>
    <row r="893" s="5" customFormat="1" ht="15.75" customHeight="1" x14ac:dyDescent="0.15"/>
    <row r="894" s="5" customFormat="1" ht="15.75" customHeight="1" x14ac:dyDescent="0.15"/>
    <row r="895" s="5" customFormat="1" ht="15.75" customHeight="1" x14ac:dyDescent="0.15"/>
    <row r="896" s="5" customFormat="1" ht="15.75" customHeight="1" x14ac:dyDescent="0.15"/>
    <row r="897" s="5" customFormat="1" ht="15.75" customHeight="1" x14ac:dyDescent="0.15"/>
    <row r="898" s="5" customFormat="1" ht="15.75" customHeight="1" x14ac:dyDescent="0.15"/>
    <row r="899" s="5" customFormat="1" ht="15.75" customHeight="1" x14ac:dyDescent="0.15"/>
    <row r="900" s="5" customFormat="1" ht="15.75" customHeight="1" x14ac:dyDescent="0.15"/>
    <row r="901" s="5" customFormat="1" ht="15.75" customHeight="1" x14ac:dyDescent="0.15"/>
    <row r="902" s="5" customFormat="1" ht="15.75" customHeight="1" x14ac:dyDescent="0.15"/>
    <row r="903" s="5" customFormat="1" ht="15.75" customHeight="1" x14ac:dyDescent="0.15"/>
    <row r="904" s="5" customFormat="1" ht="15.75" customHeight="1" x14ac:dyDescent="0.15"/>
    <row r="905" s="5" customFormat="1" ht="15.75" customHeight="1" x14ac:dyDescent="0.15"/>
    <row r="906" s="5" customFormat="1" ht="15.75" customHeight="1" x14ac:dyDescent="0.15"/>
    <row r="907" s="5" customFormat="1" ht="15.75" customHeight="1" x14ac:dyDescent="0.15"/>
    <row r="908" s="5" customFormat="1" ht="15.75" customHeight="1" x14ac:dyDescent="0.15"/>
    <row r="909" s="5" customFormat="1" ht="15.75" customHeight="1" x14ac:dyDescent="0.15"/>
    <row r="910" s="5" customFormat="1" ht="15.75" customHeight="1" x14ac:dyDescent="0.15"/>
    <row r="911" s="5" customFormat="1" ht="15.75" customHeight="1" x14ac:dyDescent="0.15"/>
    <row r="912" s="5" customFormat="1" ht="15.75" customHeight="1" x14ac:dyDescent="0.15"/>
    <row r="913" s="5" customFormat="1" ht="15.75" customHeight="1" x14ac:dyDescent="0.15"/>
    <row r="914" s="5" customFormat="1" ht="15.75" customHeight="1" x14ac:dyDescent="0.15"/>
    <row r="915" s="5" customFormat="1" ht="15.75" customHeight="1" x14ac:dyDescent="0.15"/>
    <row r="916" s="5" customFormat="1" ht="15.75" customHeight="1" x14ac:dyDescent="0.15"/>
    <row r="917" s="5" customFormat="1" ht="15.75" customHeight="1" x14ac:dyDescent="0.15"/>
    <row r="918" s="5" customFormat="1" ht="15.75" customHeight="1" x14ac:dyDescent="0.15"/>
    <row r="919" s="5" customFormat="1" ht="15.75" customHeight="1" x14ac:dyDescent="0.15"/>
    <row r="920" s="5" customFormat="1" ht="15.75" customHeight="1" x14ac:dyDescent="0.15"/>
    <row r="921" s="5" customFormat="1" ht="15.75" customHeight="1" x14ac:dyDescent="0.15"/>
    <row r="922" s="5" customFormat="1" ht="15.75" customHeight="1" x14ac:dyDescent="0.15"/>
    <row r="923" s="5" customFormat="1" ht="15.75" customHeight="1" x14ac:dyDescent="0.15"/>
    <row r="924" s="5" customFormat="1" ht="15.75" customHeight="1" x14ac:dyDescent="0.15"/>
    <row r="925" s="5" customFormat="1" ht="15.75" customHeight="1" x14ac:dyDescent="0.15"/>
    <row r="926" s="5" customFormat="1" ht="15.75" customHeight="1" x14ac:dyDescent="0.15"/>
    <row r="927" s="5" customFormat="1" ht="15.75" customHeight="1" x14ac:dyDescent="0.15"/>
    <row r="928" s="5" customFormat="1" ht="15.75" customHeight="1" x14ac:dyDescent="0.15"/>
    <row r="929" s="5" customFormat="1" ht="15.75" customHeight="1" x14ac:dyDescent="0.15"/>
    <row r="930" s="5" customFormat="1" ht="15.75" customHeight="1" x14ac:dyDescent="0.15"/>
    <row r="931" s="5" customFormat="1" ht="15.75" customHeight="1" x14ac:dyDescent="0.15"/>
    <row r="932" s="5" customFormat="1" ht="15.75" customHeight="1" x14ac:dyDescent="0.15"/>
    <row r="933" s="5" customFormat="1" ht="15.75" customHeight="1" x14ac:dyDescent="0.15"/>
    <row r="934" s="5" customFormat="1" ht="15.75" customHeight="1" x14ac:dyDescent="0.15"/>
    <row r="935" s="5" customFormat="1" ht="15.75" customHeight="1" x14ac:dyDescent="0.15"/>
    <row r="936" s="5" customFormat="1" ht="15.75" customHeight="1" x14ac:dyDescent="0.15"/>
    <row r="937" s="5" customFormat="1" ht="15.75" customHeight="1" x14ac:dyDescent="0.15"/>
    <row r="938" s="5" customFormat="1" ht="15.75" customHeight="1" x14ac:dyDescent="0.15"/>
    <row r="939" s="5" customFormat="1" ht="15.75" customHeight="1" x14ac:dyDescent="0.15"/>
    <row r="940" s="5" customFormat="1" ht="15.75" customHeight="1" x14ac:dyDescent="0.15"/>
    <row r="941" s="5" customFormat="1" ht="15.75" customHeight="1" x14ac:dyDescent="0.15"/>
    <row r="942" s="5" customFormat="1" ht="15.75" customHeight="1" x14ac:dyDescent="0.15"/>
    <row r="943" s="5" customFormat="1" ht="15.75" customHeight="1" x14ac:dyDescent="0.15"/>
    <row r="944" s="5" customFormat="1" ht="15.75" customHeight="1" x14ac:dyDescent="0.15"/>
    <row r="945" s="5" customFormat="1" ht="15.75" customHeight="1" x14ac:dyDescent="0.15"/>
    <row r="946" s="5" customFormat="1" ht="15.75" customHeight="1" x14ac:dyDescent="0.15"/>
    <row r="947" s="5" customFormat="1" ht="15.75" customHeight="1" x14ac:dyDescent="0.15"/>
    <row r="948" s="5" customFormat="1" ht="15.75" customHeight="1" x14ac:dyDescent="0.15"/>
    <row r="949" s="5" customFormat="1" ht="15.75" customHeight="1" x14ac:dyDescent="0.15"/>
    <row r="950" s="5" customFormat="1" ht="15.75" customHeight="1" x14ac:dyDescent="0.15"/>
    <row r="951" s="5" customFormat="1" ht="15.75" customHeight="1" x14ac:dyDescent="0.15"/>
    <row r="952" s="5" customFormat="1" ht="15.75" customHeight="1" x14ac:dyDescent="0.15"/>
    <row r="953" s="5" customFormat="1" ht="15.75" customHeight="1" x14ac:dyDescent="0.15"/>
    <row r="954" s="5" customFormat="1" ht="15.75" customHeight="1" x14ac:dyDescent="0.15"/>
    <row r="955" s="5" customFormat="1" ht="15.75" customHeight="1" x14ac:dyDescent="0.15"/>
    <row r="956" s="5" customFormat="1" ht="15.75" customHeight="1" x14ac:dyDescent="0.15"/>
    <row r="957" s="5" customFormat="1" ht="15.75" customHeight="1" x14ac:dyDescent="0.15"/>
    <row r="958" s="5" customFormat="1" ht="15.75" customHeight="1" x14ac:dyDescent="0.15"/>
    <row r="959" s="5" customFormat="1" ht="15.75" customHeight="1" x14ac:dyDescent="0.15"/>
    <row r="960" s="5" customFormat="1" ht="15.75" customHeight="1" x14ac:dyDescent="0.15"/>
    <row r="961" s="5" customFormat="1" ht="15.75" customHeight="1" x14ac:dyDescent="0.15"/>
    <row r="962" s="5" customFormat="1" ht="15.75" customHeight="1" x14ac:dyDescent="0.15"/>
    <row r="963" s="5" customFormat="1" ht="15.75" customHeight="1" x14ac:dyDescent="0.15"/>
    <row r="964" s="5" customFormat="1" ht="15.75" customHeight="1" x14ac:dyDescent="0.15"/>
    <row r="965" s="5" customFormat="1" ht="15.75" customHeight="1" x14ac:dyDescent="0.15"/>
    <row r="966" s="5" customFormat="1" ht="15.75" customHeight="1" x14ac:dyDescent="0.15"/>
    <row r="967" s="5" customFormat="1" ht="15.75" customHeight="1" x14ac:dyDescent="0.15"/>
    <row r="968" s="5" customFormat="1" ht="15.75" customHeight="1" x14ac:dyDescent="0.15"/>
    <row r="969" s="5" customFormat="1" ht="15.75" customHeight="1" x14ac:dyDescent="0.15"/>
    <row r="970" s="5" customFormat="1" ht="15.75" customHeight="1" x14ac:dyDescent="0.15"/>
    <row r="971" s="5" customFormat="1" ht="15.75" customHeight="1" x14ac:dyDescent="0.15"/>
    <row r="972" s="5" customFormat="1" ht="15.75" customHeight="1" x14ac:dyDescent="0.15"/>
    <row r="973" s="5" customFormat="1" ht="15.75" customHeight="1" x14ac:dyDescent="0.15"/>
    <row r="974" s="5" customFormat="1" ht="15.75" customHeight="1" x14ac:dyDescent="0.15"/>
    <row r="975" s="5" customFormat="1" ht="15.75" customHeight="1" x14ac:dyDescent="0.15"/>
    <row r="976" s="5" customFormat="1" ht="15.75" customHeight="1" x14ac:dyDescent="0.15"/>
    <row r="977" s="5" customFormat="1" ht="15.75" customHeight="1" x14ac:dyDescent="0.15"/>
    <row r="978" s="5" customFormat="1" ht="15.75" customHeight="1" x14ac:dyDescent="0.15"/>
    <row r="979" s="5" customFormat="1" ht="15.75" customHeight="1" x14ac:dyDescent="0.15"/>
    <row r="980" s="5" customFormat="1" ht="15.75" customHeight="1" x14ac:dyDescent="0.15"/>
    <row r="981" s="5" customFormat="1" ht="15.75" customHeight="1" x14ac:dyDescent="0.15"/>
    <row r="982" s="5" customFormat="1" ht="15.75" customHeight="1" x14ac:dyDescent="0.15"/>
    <row r="983" s="5" customFormat="1" ht="15.75" customHeight="1" x14ac:dyDescent="0.15"/>
    <row r="984" s="5" customFormat="1" ht="15.75" customHeight="1" x14ac:dyDescent="0.15"/>
    <row r="985" s="5" customFormat="1" ht="15.75" customHeight="1" x14ac:dyDescent="0.15"/>
    <row r="986" s="5" customFormat="1" ht="15.75" customHeight="1" x14ac:dyDescent="0.15"/>
    <row r="987" s="5" customFormat="1" ht="15.75" customHeight="1" x14ac:dyDescent="0.15"/>
    <row r="988" s="5" customFormat="1" ht="15.75" customHeight="1" x14ac:dyDescent="0.15"/>
    <row r="989" s="5" customFormat="1" ht="15.75" customHeight="1" x14ac:dyDescent="0.15"/>
    <row r="990" s="5" customFormat="1" ht="15.75" customHeight="1" x14ac:dyDescent="0.15"/>
    <row r="991" s="5" customFormat="1" ht="15.75" customHeight="1" x14ac:dyDescent="0.15"/>
    <row r="992" s="5" customFormat="1" ht="15.75" customHeight="1" x14ac:dyDescent="0.15"/>
    <row r="993" s="5" customFormat="1" ht="15.75" customHeight="1" x14ac:dyDescent="0.15"/>
    <row r="994" s="5" customFormat="1" ht="15.75" customHeight="1" x14ac:dyDescent="0.15"/>
    <row r="995" s="5" customFormat="1" ht="15.75" customHeight="1" x14ac:dyDescent="0.15"/>
    <row r="996" s="5" customFormat="1" ht="15.75" customHeight="1" x14ac:dyDescent="0.15"/>
    <row r="997" s="5" customFormat="1" ht="15.75" customHeight="1" x14ac:dyDescent="0.15"/>
    <row r="998" s="5" customFormat="1" ht="15.75" customHeight="1" x14ac:dyDescent="0.15"/>
    <row r="999" s="5" customFormat="1" ht="15.75" customHeight="1" x14ac:dyDescent="0.15"/>
    <row r="1000" s="5" customFormat="1" ht="15.75" customHeight="1" x14ac:dyDescent="0.15"/>
  </sheetData>
  <mergeCells count="2">
    <mergeCell ref="A1:D1"/>
    <mergeCell ref="I1:K1"/>
  </mergeCells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I1000"/>
  <sheetViews>
    <sheetView showGridLines="0" workbookViewId="0">
      <selection activeCell="B2" sqref="B2"/>
    </sheetView>
  </sheetViews>
  <sheetFormatPr baseColWidth="10" defaultColWidth="14.5" defaultRowHeight="15" customHeight="1" x14ac:dyDescent="0.15"/>
  <cols>
    <col min="1" max="1" width="20.5" style="1" customWidth="1"/>
    <col min="2" max="2" width="34.1640625" style="1" customWidth="1"/>
    <col min="3" max="3" width="18.1640625" style="1" customWidth="1"/>
    <col min="4" max="5" width="18.5" style="1" customWidth="1"/>
    <col min="6" max="6" width="17.83203125" style="1" customWidth="1"/>
    <col min="7" max="7" width="19.83203125" style="1" customWidth="1"/>
    <col min="8" max="8" width="20.5" style="1" customWidth="1"/>
    <col min="9" max="9" width="18.1640625" style="1" customWidth="1"/>
    <col min="10" max="16384" width="14.5" style="1"/>
  </cols>
  <sheetData>
    <row r="1" spans="1:9" s="100" customFormat="1" ht="60" customHeight="1" x14ac:dyDescent="0.15">
      <c r="A1" s="101" t="s">
        <v>28</v>
      </c>
      <c r="B1" s="102"/>
      <c r="C1" s="103"/>
      <c r="D1" s="102"/>
      <c r="E1" s="142" t="str">
        <f>PROPER('Gross Pat. Count'!$F$1)</f>
        <v>45717</v>
      </c>
      <c r="F1" s="143"/>
      <c r="G1" s="143"/>
      <c r="H1" s="102"/>
      <c r="I1" s="102"/>
    </row>
    <row r="2" spans="1:9" s="100" customFormat="1" ht="60" customHeight="1" x14ac:dyDescent="0.15">
      <c r="A2" s="98" t="s">
        <v>29</v>
      </c>
      <c r="B2" s="99" t="s">
        <v>30</v>
      </c>
      <c r="C2" s="98" t="s">
        <v>31</v>
      </c>
      <c r="D2" s="99" t="s">
        <v>32</v>
      </c>
      <c r="E2" s="99" t="s">
        <v>33</v>
      </c>
      <c r="F2" s="99" t="s">
        <v>34</v>
      </c>
      <c r="G2" s="98" t="s">
        <v>35</v>
      </c>
      <c r="H2" s="99" t="s">
        <v>36</v>
      </c>
      <c r="I2" s="99" t="s">
        <v>37</v>
      </c>
    </row>
    <row r="3" spans="1:9" ht="18" customHeight="1" x14ac:dyDescent="0.15">
      <c r="A3" s="13" t="str">
        <f>'Gross Pat. Count'!$A$1</f>
        <v>HOOVER</v>
      </c>
      <c r="B3" s="77">
        <v>45717</v>
      </c>
      <c r="C3" s="78">
        <v>0</v>
      </c>
      <c r="D3" s="78">
        <v>0</v>
      </c>
      <c r="E3" s="78">
        <v>0</v>
      </c>
      <c r="F3" s="78">
        <f>SUM(D3+E3)</f>
        <v>0</v>
      </c>
      <c r="G3" s="78">
        <v>0</v>
      </c>
      <c r="H3" s="78">
        <f t="shared" ref="H3:H15" si="0">SUM(F3+G3)</f>
        <v>0</v>
      </c>
      <c r="I3" s="78">
        <f t="shared" ref="I3:I20" si="1">SUM(C3+D3+G3)</f>
        <v>0</v>
      </c>
    </row>
    <row r="4" spans="1:9" ht="18" customHeight="1" x14ac:dyDescent="0.15">
      <c r="A4" s="13" t="str">
        <f>'Gross Pat. Count'!$A$1</f>
        <v>HOOVER</v>
      </c>
      <c r="B4" s="77">
        <f>'Gross Pat. Count'!A6</f>
        <v>46086</v>
      </c>
      <c r="C4" s="78">
        <v>0</v>
      </c>
      <c r="D4" s="79">
        <v>0</v>
      </c>
      <c r="E4" s="78">
        <f t="shared" ref="E4:F4" si="2">SUM(C4+D4)</f>
        <v>0</v>
      </c>
      <c r="F4" s="78">
        <f t="shared" si="2"/>
        <v>0</v>
      </c>
      <c r="G4" s="78">
        <v>0</v>
      </c>
      <c r="H4" s="78">
        <f t="shared" si="0"/>
        <v>0</v>
      </c>
      <c r="I4" s="80">
        <f t="shared" si="1"/>
        <v>0</v>
      </c>
    </row>
    <row r="5" spans="1:9" ht="18" customHeight="1" x14ac:dyDescent="0.15">
      <c r="A5" s="14" t="str">
        <f>'Gross Pat. Count'!$A$1</f>
        <v>HOOVER</v>
      </c>
      <c r="B5" s="81">
        <v>45722</v>
      </c>
      <c r="C5" s="78">
        <v>0</v>
      </c>
      <c r="D5" s="78">
        <v>0</v>
      </c>
      <c r="E5" s="78">
        <f t="shared" ref="E5:F5" si="3">SUM(C5+D5)</f>
        <v>0</v>
      </c>
      <c r="F5" s="78">
        <f t="shared" si="3"/>
        <v>0</v>
      </c>
      <c r="G5" s="78">
        <v>0</v>
      </c>
      <c r="H5" s="78">
        <f t="shared" si="0"/>
        <v>0</v>
      </c>
      <c r="I5" s="78">
        <f t="shared" si="1"/>
        <v>0</v>
      </c>
    </row>
    <row r="6" spans="1:9" ht="18" customHeight="1" x14ac:dyDescent="0.15">
      <c r="A6" s="14" t="str">
        <f>'Gross Pat. Count'!$A$1</f>
        <v>HOOVER</v>
      </c>
      <c r="B6" s="81">
        <v>45724</v>
      </c>
      <c r="C6" s="78">
        <v>0</v>
      </c>
      <c r="D6" s="78">
        <v>0</v>
      </c>
      <c r="E6" s="78">
        <f t="shared" ref="E6:F6" si="4">SUM(C6+D6)</f>
        <v>0</v>
      </c>
      <c r="F6" s="78">
        <f t="shared" si="4"/>
        <v>0</v>
      </c>
      <c r="G6" s="78">
        <v>0</v>
      </c>
      <c r="H6" s="78">
        <f t="shared" si="0"/>
        <v>0</v>
      </c>
      <c r="I6" s="78">
        <f t="shared" si="1"/>
        <v>0</v>
      </c>
    </row>
    <row r="7" spans="1:9" ht="18" customHeight="1" x14ac:dyDescent="0.15">
      <c r="A7" s="14" t="str">
        <f>'Gross Pat. Count'!$A$1</f>
        <v>HOOVER</v>
      </c>
      <c r="B7" s="81">
        <f>'Gross Pat. Count'!A9</f>
        <v>46093</v>
      </c>
      <c r="C7" s="78">
        <v>0</v>
      </c>
      <c r="D7" s="78">
        <v>0</v>
      </c>
      <c r="E7" s="78">
        <f t="shared" ref="E7:F7" si="5">SUM(C7+D7)</f>
        <v>0</v>
      </c>
      <c r="F7" s="78">
        <f t="shared" si="5"/>
        <v>0</v>
      </c>
      <c r="G7" s="78">
        <v>0</v>
      </c>
      <c r="H7" s="78">
        <f t="shared" si="0"/>
        <v>0</v>
      </c>
      <c r="I7" s="78">
        <f t="shared" si="1"/>
        <v>0</v>
      </c>
    </row>
    <row r="8" spans="1:9" ht="18" customHeight="1" x14ac:dyDescent="0.15">
      <c r="A8" s="14" t="str">
        <f>'Gross Pat. Count'!$A$1</f>
        <v>HOOVER</v>
      </c>
      <c r="B8" s="81">
        <f>'Gross Pat. Count'!A10</f>
        <v>46095</v>
      </c>
      <c r="C8" s="78">
        <v>0</v>
      </c>
      <c r="D8" s="78">
        <v>0</v>
      </c>
      <c r="E8" s="78">
        <f t="shared" ref="E8:F8" si="6">SUM(C8+D8)</f>
        <v>0</v>
      </c>
      <c r="F8" s="78">
        <f t="shared" si="6"/>
        <v>0</v>
      </c>
      <c r="G8" s="78">
        <v>0</v>
      </c>
      <c r="H8" s="78">
        <f t="shared" si="0"/>
        <v>0</v>
      </c>
      <c r="I8" s="78">
        <f t="shared" si="1"/>
        <v>0</v>
      </c>
    </row>
    <row r="9" spans="1:9" ht="18" customHeight="1" x14ac:dyDescent="0.15">
      <c r="A9" s="13" t="str">
        <f>'Gross Pat. Count'!$A$1</f>
        <v>HOOVER</v>
      </c>
      <c r="B9" s="77">
        <f>'Gross Pat. Count'!A11</f>
        <v>46099</v>
      </c>
      <c r="C9" s="78">
        <v>0</v>
      </c>
      <c r="D9" s="78">
        <v>0</v>
      </c>
      <c r="E9" s="78">
        <v>0</v>
      </c>
      <c r="F9" s="78">
        <f>SUM(D9+E9)</f>
        <v>0</v>
      </c>
      <c r="G9" s="78">
        <v>0</v>
      </c>
      <c r="H9" s="78">
        <f t="shared" si="0"/>
        <v>0</v>
      </c>
      <c r="I9" s="78">
        <f t="shared" si="1"/>
        <v>0</v>
      </c>
    </row>
    <row r="10" spans="1:9" ht="18" customHeight="1" x14ac:dyDescent="0.15">
      <c r="A10" s="13" t="str">
        <f>'Gross Pat. Count'!$A$1</f>
        <v>HOOVER</v>
      </c>
      <c r="B10" s="77">
        <f>'Gross Pat. Count'!A12</f>
        <v>46100</v>
      </c>
      <c r="C10" s="78">
        <v>0</v>
      </c>
      <c r="D10" s="78">
        <v>0</v>
      </c>
      <c r="E10" s="78">
        <f t="shared" ref="E10:F10" si="7">SUM(C10+D10)</f>
        <v>0</v>
      </c>
      <c r="F10" s="78">
        <f t="shared" si="7"/>
        <v>0</v>
      </c>
      <c r="G10" s="78">
        <v>0</v>
      </c>
      <c r="H10" s="78">
        <f t="shared" si="0"/>
        <v>0</v>
      </c>
      <c r="I10" s="78">
        <f t="shared" si="1"/>
        <v>0</v>
      </c>
    </row>
    <row r="11" spans="1:9" ht="18" customHeight="1" x14ac:dyDescent="0.15">
      <c r="A11" s="13" t="str">
        <f>'Gross Pat. Count'!$A$1</f>
        <v>HOOVER</v>
      </c>
      <c r="B11" s="77">
        <f>'Gross Pat. Count'!A13</f>
        <v>46102</v>
      </c>
      <c r="C11" s="78">
        <v>0</v>
      </c>
      <c r="D11" s="78">
        <v>0</v>
      </c>
      <c r="E11" s="78">
        <f t="shared" ref="E11:F11" si="8">SUM(C11+D11)</f>
        <v>0</v>
      </c>
      <c r="F11" s="78">
        <f t="shared" si="8"/>
        <v>0</v>
      </c>
      <c r="G11" s="78">
        <v>0</v>
      </c>
      <c r="H11" s="78">
        <f t="shared" si="0"/>
        <v>0</v>
      </c>
      <c r="I11" s="78">
        <f t="shared" si="1"/>
        <v>0</v>
      </c>
    </row>
    <row r="12" spans="1:9" ht="18" customHeight="1" x14ac:dyDescent="0.15">
      <c r="A12" s="13" t="str">
        <f>'Gross Pat. Count'!$A$1</f>
        <v>HOOVER</v>
      </c>
      <c r="B12" s="77">
        <v>45738</v>
      </c>
      <c r="C12" s="78">
        <v>0</v>
      </c>
      <c r="D12" s="78">
        <v>0</v>
      </c>
      <c r="E12" s="78">
        <f t="shared" ref="E12:F12" si="9">SUM(C12+D12)</f>
        <v>0</v>
      </c>
      <c r="F12" s="78">
        <f t="shared" si="9"/>
        <v>0</v>
      </c>
      <c r="G12" s="78">
        <v>0</v>
      </c>
      <c r="H12" s="78">
        <f t="shared" si="0"/>
        <v>0</v>
      </c>
      <c r="I12" s="78">
        <f t="shared" si="1"/>
        <v>0</v>
      </c>
    </row>
    <row r="13" spans="1:9" ht="18" customHeight="1" x14ac:dyDescent="0.15">
      <c r="A13" s="13" t="str">
        <f>'Gross Pat. Count'!$A$1</f>
        <v>HOOVER</v>
      </c>
      <c r="B13" s="77">
        <f>'Gross Pat. Count'!A15</f>
        <v>46107</v>
      </c>
      <c r="C13" s="78">
        <v>0</v>
      </c>
      <c r="D13" s="78">
        <v>0</v>
      </c>
      <c r="E13" s="78">
        <f t="shared" ref="E13:F13" si="10">SUM(C13+D13)</f>
        <v>0</v>
      </c>
      <c r="F13" s="78">
        <f t="shared" si="10"/>
        <v>0</v>
      </c>
      <c r="G13" s="78">
        <v>0</v>
      </c>
      <c r="H13" s="78">
        <f t="shared" si="0"/>
        <v>0</v>
      </c>
      <c r="I13" s="78">
        <f t="shared" si="1"/>
        <v>0</v>
      </c>
    </row>
    <row r="14" spans="1:9" ht="18" customHeight="1" x14ac:dyDescent="0.15">
      <c r="A14" s="13" t="str">
        <f>'Gross Pat. Count'!$A$1</f>
        <v>HOOVER</v>
      </c>
      <c r="B14" s="77">
        <f>'Gross Pat. Count'!A16</f>
        <v>46109</v>
      </c>
      <c r="C14" s="78">
        <v>0</v>
      </c>
      <c r="D14" s="78">
        <v>0</v>
      </c>
      <c r="E14" s="78">
        <v>0</v>
      </c>
      <c r="F14" s="78">
        <f t="shared" ref="F14:F15" si="11">SUM(D14+E14)</f>
        <v>0</v>
      </c>
      <c r="G14" s="78">
        <v>0</v>
      </c>
      <c r="H14" s="78">
        <f t="shared" si="0"/>
        <v>0</v>
      </c>
      <c r="I14" s="78">
        <f t="shared" si="1"/>
        <v>0</v>
      </c>
    </row>
    <row r="15" spans="1:9" ht="18" customHeight="1" x14ac:dyDescent="0.15">
      <c r="A15" s="13" t="str">
        <f>'Gross Pat. Count'!$A$1</f>
        <v>HOOVER</v>
      </c>
      <c r="B15" s="77">
        <f>'Gross Pat. Count'!A17</f>
        <v>46112</v>
      </c>
      <c r="C15" s="78">
        <v>628.9</v>
      </c>
      <c r="D15" s="78">
        <v>468</v>
      </c>
      <c r="E15" s="78">
        <v>0</v>
      </c>
      <c r="F15" s="78">
        <f t="shared" si="11"/>
        <v>468</v>
      </c>
      <c r="G15" s="78">
        <v>700</v>
      </c>
      <c r="H15" s="78">
        <f t="shared" si="0"/>
        <v>1168</v>
      </c>
      <c r="I15" s="78">
        <f t="shared" si="1"/>
        <v>1796.9</v>
      </c>
    </row>
    <row r="16" spans="1:9" ht="18" customHeight="1" x14ac:dyDescent="0.15">
      <c r="A16" s="13" t="str">
        <f>'Gross Pat. Count'!$A$1</f>
        <v>HOOVER</v>
      </c>
      <c r="B16" s="77"/>
      <c r="C16" s="78"/>
      <c r="D16" s="78"/>
      <c r="E16" s="78"/>
      <c r="F16" s="78"/>
      <c r="G16" s="78"/>
      <c r="H16" s="78"/>
      <c r="I16" s="78">
        <f t="shared" si="1"/>
        <v>0</v>
      </c>
    </row>
    <row r="17" spans="1:9" ht="18" customHeight="1" x14ac:dyDescent="0.15">
      <c r="A17" s="13" t="str">
        <f>'Gross Pat. Count'!$A$1</f>
        <v>HOOVER</v>
      </c>
      <c r="B17" s="77">
        <f>'Gross Pat. Count'!A19</f>
        <v>0</v>
      </c>
      <c r="C17" s="78"/>
      <c r="D17" s="78"/>
      <c r="E17" s="78"/>
      <c r="F17" s="78"/>
      <c r="G17" s="78"/>
      <c r="H17" s="78"/>
      <c r="I17" s="78">
        <f t="shared" si="1"/>
        <v>0</v>
      </c>
    </row>
    <row r="18" spans="1:9" ht="18" customHeight="1" x14ac:dyDescent="0.15">
      <c r="A18" s="13" t="str">
        <f>'Gross Pat. Count'!$A$1</f>
        <v>HOOVER</v>
      </c>
      <c r="B18" s="77">
        <f>'Gross Pat. Count'!A20</f>
        <v>0</v>
      </c>
      <c r="C18" s="78"/>
      <c r="D18" s="78"/>
      <c r="E18" s="78"/>
      <c r="F18" s="78"/>
      <c r="G18" s="78"/>
      <c r="H18" s="78"/>
      <c r="I18" s="78">
        <f t="shared" si="1"/>
        <v>0</v>
      </c>
    </row>
    <row r="19" spans="1:9" ht="18" customHeight="1" x14ac:dyDescent="0.15">
      <c r="A19" s="13" t="str">
        <f>'Gross Pat. Count'!$A$1</f>
        <v>HOOVER</v>
      </c>
      <c r="B19" s="77">
        <f>'Gross Pat. Count'!A21</f>
        <v>0</v>
      </c>
      <c r="C19" s="78"/>
      <c r="D19" s="78"/>
      <c r="E19" s="78"/>
      <c r="F19" s="78"/>
      <c r="G19" s="78"/>
      <c r="H19" s="78"/>
      <c r="I19" s="78">
        <f t="shared" si="1"/>
        <v>0</v>
      </c>
    </row>
    <row r="20" spans="1:9" ht="18" customHeight="1" x14ac:dyDescent="0.15">
      <c r="A20" s="13" t="str">
        <f>'Gross Pat. Count'!$A$1</f>
        <v>HOOVER</v>
      </c>
      <c r="B20" s="77">
        <f>'Gross Pat. Count'!A22</f>
        <v>0</v>
      </c>
      <c r="C20" s="78"/>
      <c r="D20" s="78"/>
      <c r="E20" s="78"/>
      <c r="F20" s="78"/>
      <c r="G20" s="78"/>
      <c r="H20" s="78"/>
      <c r="I20" s="78">
        <f t="shared" si="1"/>
        <v>0</v>
      </c>
    </row>
    <row r="21" spans="1:9" ht="17.25" customHeight="1" x14ac:dyDescent="0.15">
      <c r="A21" s="82" t="s">
        <v>38</v>
      </c>
      <c r="B21" s="83"/>
      <c r="C21" s="83">
        <f t="shared" ref="C21:D21" si="12">SUM(C3:C20)</f>
        <v>628.9</v>
      </c>
      <c r="D21" s="83">
        <f t="shared" si="12"/>
        <v>468</v>
      </c>
      <c r="E21" s="83"/>
      <c r="F21" s="83">
        <f t="shared" ref="F21:I21" si="13">SUM(F3:F20)</f>
        <v>468</v>
      </c>
      <c r="G21" s="83">
        <f t="shared" si="13"/>
        <v>700</v>
      </c>
      <c r="H21" s="83">
        <f t="shared" si="13"/>
        <v>1168</v>
      </c>
      <c r="I21" s="83">
        <f t="shared" si="13"/>
        <v>1796.9</v>
      </c>
    </row>
    <row r="22" spans="1:9" ht="15.75" customHeight="1" x14ac:dyDescent="0.15"/>
    <row r="23" spans="1:9" ht="15.75" customHeight="1" x14ac:dyDescent="0.15"/>
    <row r="24" spans="1:9" ht="15.75" customHeight="1" x14ac:dyDescent="0.15"/>
    <row r="25" spans="1:9" ht="15.75" customHeight="1" x14ac:dyDescent="0.15"/>
    <row r="26" spans="1:9" ht="15.75" customHeight="1" x14ac:dyDescent="0.15"/>
    <row r="27" spans="1:9" ht="15.75" customHeight="1" x14ac:dyDescent="0.15"/>
    <row r="28" spans="1:9" ht="15.75" customHeight="1" x14ac:dyDescent="0.15"/>
    <row r="29" spans="1:9" ht="15.75" customHeight="1" x14ac:dyDescent="0.15"/>
    <row r="30" spans="1:9" ht="15.75" customHeight="1" x14ac:dyDescent="0.15"/>
    <row r="31" spans="1:9" ht="15.75" customHeight="1" x14ac:dyDescent="0.15"/>
    <row r="32" spans="1:9" ht="15.75" customHeight="1" x14ac:dyDescent="0.15"/>
    <row r="33" s="1" customFormat="1" ht="15.75" customHeight="1" x14ac:dyDescent="0.15"/>
    <row r="34" s="1" customFormat="1" ht="15.75" customHeight="1" x14ac:dyDescent="0.15"/>
    <row r="35" s="1" customFormat="1" ht="15.75" customHeight="1" x14ac:dyDescent="0.15"/>
    <row r="36" s="1" customFormat="1" ht="15.75" customHeight="1" x14ac:dyDescent="0.15"/>
    <row r="37" s="1" customFormat="1" ht="15.75" customHeight="1" x14ac:dyDescent="0.15"/>
    <row r="38" s="1" customFormat="1" ht="15.75" customHeight="1" x14ac:dyDescent="0.15"/>
    <row r="39" s="1" customFormat="1" ht="15.75" customHeight="1" x14ac:dyDescent="0.15"/>
    <row r="40" s="1" customFormat="1" ht="15.75" customHeight="1" x14ac:dyDescent="0.15"/>
    <row r="41" s="1" customFormat="1" ht="15.75" customHeight="1" x14ac:dyDescent="0.15"/>
    <row r="42" s="1" customFormat="1" ht="15.75" customHeight="1" x14ac:dyDescent="0.15"/>
    <row r="43" s="1" customFormat="1" ht="15.75" customHeight="1" x14ac:dyDescent="0.15"/>
    <row r="44" s="1" customFormat="1" ht="15.75" customHeight="1" x14ac:dyDescent="0.15"/>
    <row r="45" s="1" customFormat="1" ht="15.75" customHeight="1" x14ac:dyDescent="0.15"/>
    <row r="46" s="1" customFormat="1" ht="15.75" customHeight="1" x14ac:dyDescent="0.15"/>
    <row r="47" s="1" customFormat="1" ht="15.75" customHeight="1" x14ac:dyDescent="0.15"/>
    <row r="48" s="1" customFormat="1" ht="15.75" customHeight="1" x14ac:dyDescent="0.15"/>
    <row r="49" s="1" customFormat="1" ht="15.75" customHeight="1" x14ac:dyDescent="0.15"/>
    <row r="50" s="1" customFormat="1" ht="15.75" customHeight="1" x14ac:dyDescent="0.15"/>
    <row r="51" s="1" customFormat="1" ht="15.75" customHeight="1" x14ac:dyDescent="0.15"/>
    <row r="52" s="1" customFormat="1" ht="15.75" customHeight="1" x14ac:dyDescent="0.15"/>
    <row r="53" s="1" customFormat="1" ht="15.75" customHeight="1" x14ac:dyDescent="0.15"/>
    <row r="54" s="1" customFormat="1" ht="15.75" customHeight="1" x14ac:dyDescent="0.15"/>
    <row r="55" s="1" customFormat="1" ht="15.75" customHeight="1" x14ac:dyDescent="0.15"/>
    <row r="56" s="1" customFormat="1" ht="15.75" customHeight="1" x14ac:dyDescent="0.15"/>
    <row r="57" s="1" customFormat="1" ht="15.75" customHeight="1" x14ac:dyDescent="0.15"/>
    <row r="58" s="1" customFormat="1" ht="15.75" customHeight="1" x14ac:dyDescent="0.15"/>
    <row r="59" s="1" customFormat="1" ht="15.75" customHeight="1" x14ac:dyDescent="0.15"/>
    <row r="60" s="1" customFormat="1" ht="15.75" customHeight="1" x14ac:dyDescent="0.15"/>
    <row r="61" s="1" customFormat="1" ht="15.75" customHeight="1" x14ac:dyDescent="0.15"/>
    <row r="62" s="1" customFormat="1" ht="15.75" customHeight="1" x14ac:dyDescent="0.15"/>
    <row r="63" s="1" customFormat="1" ht="15.75" customHeight="1" x14ac:dyDescent="0.15"/>
    <row r="64" s="1" customFormat="1" ht="15.75" customHeight="1" x14ac:dyDescent="0.15"/>
    <row r="65" s="1" customFormat="1" ht="15.75" customHeight="1" x14ac:dyDescent="0.15"/>
    <row r="66" s="1" customFormat="1" ht="15.75" customHeight="1" x14ac:dyDescent="0.15"/>
    <row r="67" s="1" customFormat="1" ht="15.75" customHeight="1" x14ac:dyDescent="0.15"/>
    <row r="68" s="1" customFormat="1" ht="15.75" customHeight="1" x14ac:dyDescent="0.15"/>
    <row r="69" s="1" customFormat="1" ht="15.75" customHeight="1" x14ac:dyDescent="0.15"/>
    <row r="70" s="1" customFormat="1" ht="15.75" customHeight="1" x14ac:dyDescent="0.15"/>
    <row r="71" s="1" customFormat="1" ht="15.75" customHeight="1" x14ac:dyDescent="0.15"/>
    <row r="72" s="1" customFormat="1" ht="15.75" customHeight="1" x14ac:dyDescent="0.15"/>
    <row r="73" s="1" customFormat="1" ht="15.75" customHeight="1" x14ac:dyDescent="0.15"/>
    <row r="74" s="1" customFormat="1" ht="15.75" customHeight="1" x14ac:dyDescent="0.15"/>
    <row r="75" s="1" customFormat="1" ht="15.75" customHeight="1" x14ac:dyDescent="0.15"/>
    <row r="76" s="1" customFormat="1" ht="15.75" customHeight="1" x14ac:dyDescent="0.15"/>
    <row r="77" s="1" customFormat="1" ht="15.75" customHeight="1" x14ac:dyDescent="0.15"/>
    <row r="78" s="1" customFormat="1" ht="15.75" customHeight="1" x14ac:dyDescent="0.15"/>
    <row r="79" s="1" customFormat="1" ht="15.75" customHeight="1" x14ac:dyDescent="0.15"/>
    <row r="80" s="1" customFormat="1" ht="15.75" customHeight="1" x14ac:dyDescent="0.15"/>
    <row r="81" s="1" customFormat="1" ht="15.75" customHeight="1" x14ac:dyDescent="0.15"/>
    <row r="82" s="1" customFormat="1" ht="15.75" customHeight="1" x14ac:dyDescent="0.15"/>
    <row r="83" s="1" customFormat="1" ht="15.75" customHeight="1" x14ac:dyDescent="0.15"/>
    <row r="84" s="1" customFormat="1" ht="15.75" customHeight="1" x14ac:dyDescent="0.15"/>
    <row r="85" s="1" customFormat="1" ht="15.75" customHeight="1" x14ac:dyDescent="0.15"/>
    <row r="86" s="1" customFormat="1" ht="15.75" customHeight="1" x14ac:dyDescent="0.15"/>
    <row r="87" s="1" customFormat="1" ht="15.75" customHeight="1" x14ac:dyDescent="0.15"/>
    <row r="88" s="1" customFormat="1" ht="15.75" customHeight="1" x14ac:dyDescent="0.15"/>
    <row r="89" s="1" customFormat="1" ht="15.75" customHeight="1" x14ac:dyDescent="0.15"/>
    <row r="90" s="1" customFormat="1" ht="15.75" customHeight="1" x14ac:dyDescent="0.15"/>
    <row r="91" s="1" customFormat="1" ht="15.75" customHeight="1" x14ac:dyDescent="0.15"/>
    <row r="92" s="1" customFormat="1" ht="15.75" customHeight="1" x14ac:dyDescent="0.15"/>
    <row r="93" s="1" customFormat="1" ht="15.75" customHeight="1" x14ac:dyDescent="0.15"/>
    <row r="94" s="1" customFormat="1" ht="15.75" customHeight="1" x14ac:dyDescent="0.15"/>
    <row r="95" s="1" customFormat="1" ht="15.75" customHeight="1" x14ac:dyDescent="0.15"/>
    <row r="96" s="1" customFormat="1" ht="15.75" customHeight="1" x14ac:dyDescent="0.15"/>
    <row r="97" s="1" customFormat="1" ht="15.75" customHeight="1" x14ac:dyDescent="0.15"/>
    <row r="98" s="1" customFormat="1" ht="15.75" customHeight="1" x14ac:dyDescent="0.15"/>
    <row r="99" s="1" customFormat="1" ht="15.75" customHeight="1" x14ac:dyDescent="0.15"/>
    <row r="100" s="1" customFormat="1" ht="15.75" customHeight="1" x14ac:dyDescent="0.15"/>
    <row r="101" s="1" customFormat="1" ht="15.75" customHeight="1" x14ac:dyDescent="0.15"/>
    <row r="102" s="1" customFormat="1" ht="15.75" customHeight="1" x14ac:dyDescent="0.15"/>
    <row r="103" s="1" customFormat="1" ht="15.75" customHeight="1" x14ac:dyDescent="0.15"/>
    <row r="104" s="1" customFormat="1" ht="15.75" customHeight="1" x14ac:dyDescent="0.15"/>
    <row r="105" s="1" customFormat="1" ht="15.75" customHeight="1" x14ac:dyDescent="0.15"/>
    <row r="106" s="1" customFormat="1" ht="15.75" customHeight="1" x14ac:dyDescent="0.15"/>
    <row r="107" s="1" customFormat="1" ht="15.75" customHeight="1" x14ac:dyDescent="0.15"/>
    <row r="108" s="1" customFormat="1" ht="15.75" customHeight="1" x14ac:dyDescent="0.15"/>
    <row r="109" s="1" customFormat="1" ht="15.75" customHeight="1" x14ac:dyDescent="0.15"/>
    <row r="110" s="1" customFormat="1" ht="15.75" customHeight="1" x14ac:dyDescent="0.15"/>
    <row r="111" s="1" customFormat="1" ht="15.75" customHeight="1" x14ac:dyDescent="0.15"/>
    <row r="112" s="1" customFormat="1" ht="15.75" customHeight="1" x14ac:dyDescent="0.15"/>
    <row r="113" s="1" customFormat="1" ht="15.75" customHeight="1" x14ac:dyDescent="0.15"/>
    <row r="114" s="1" customFormat="1" ht="15.75" customHeight="1" x14ac:dyDescent="0.15"/>
    <row r="115" s="1" customFormat="1" ht="15.75" customHeight="1" x14ac:dyDescent="0.15"/>
    <row r="116" s="1" customFormat="1" ht="15.75" customHeight="1" x14ac:dyDescent="0.15"/>
    <row r="117" s="1" customFormat="1" ht="15.75" customHeight="1" x14ac:dyDescent="0.15"/>
    <row r="118" s="1" customFormat="1" ht="15.75" customHeight="1" x14ac:dyDescent="0.15"/>
    <row r="119" s="1" customFormat="1" ht="15.75" customHeight="1" x14ac:dyDescent="0.15"/>
    <row r="120" s="1" customFormat="1" ht="15.75" customHeight="1" x14ac:dyDescent="0.15"/>
    <row r="121" s="1" customFormat="1" ht="15.75" customHeight="1" x14ac:dyDescent="0.15"/>
    <row r="122" s="1" customFormat="1" ht="15.75" customHeight="1" x14ac:dyDescent="0.15"/>
    <row r="123" s="1" customFormat="1" ht="15.75" customHeight="1" x14ac:dyDescent="0.15"/>
    <row r="124" s="1" customFormat="1" ht="15.75" customHeight="1" x14ac:dyDescent="0.15"/>
    <row r="125" s="1" customFormat="1" ht="15.75" customHeight="1" x14ac:dyDescent="0.15"/>
    <row r="126" s="1" customFormat="1" ht="15.75" customHeight="1" x14ac:dyDescent="0.15"/>
    <row r="127" s="1" customFormat="1" ht="15.75" customHeight="1" x14ac:dyDescent="0.15"/>
    <row r="128" s="1" customFormat="1" ht="15.75" customHeight="1" x14ac:dyDescent="0.15"/>
    <row r="129" s="1" customFormat="1" ht="15.75" customHeight="1" x14ac:dyDescent="0.15"/>
    <row r="130" s="1" customFormat="1" ht="15.75" customHeight="1" x14ac:dyDescent="0.15"/>
    <row r="131" s="1" customFormat="1" ht="15.75" customHeight="1" x14ac:dyDescent="0.15"/>
    <row r="132" s="1" customFormat="1" ht="15.75" customHeight="1" x14ac:dyDescent="0.15"/>
    <row r="133" s="1" customFormat="1" ht="15.75" customHeight="1" x14ac:dyDescent="0.15"/>
    <row r="134" s="1" customFormat="1" ht="15.75" customHeight="1" x14ac:dyDescent="0.15"/>
    <row r="135" s="1" customFormat="1" ht="15.75" customHeight="1" x14ac:dyDescent="0.15"/>
    <row r="136" s="1" customFormat="1" ht="15.75" customHeight="1" x14ac:dyDescent="0.15"/>
    <row r="137" s="1" customFormat="1" ht="15.75" customHeight="1" x14ac:dyDescent="0.15"/>
    <row r="138" s="1" customFormat="1" ht="15.75" customHeight="1" x14ac:dyDescent="0.15"/>
    <row r="139" s="1" customFormat="1" ht="15.75" customHeight="1" x14ac:dyDescent="0.15"/>
    <row r="140" s="1" customFormat="1" ht="15.75" customHeight="1" x14ac:dyDescent="0.15"/>
    <row r="141" s="1" customFormat="1" ht="15.75" customHeight="1" x14ac:dyDescent="0.15"/>
    <row r="142" s="1" customFormat="1" ht="15.75" customHeight="1" x14ac:dyDescent="0.15"/>
    <row r="143" s="1" customFormat="1" ht="15.75" customHeight="1" x14ac:dyDescent="0.15"/>
    <row r="144" s="1" customFormat="1" ht="15.75" customHeight="1" x14ac:dyDescent="0.15"/>
    <row r="145" s="1" customFormat="1" ht="15.75" customHeight="1" x14ac:dyDescent="0.15"/>
    <row r="146" s="1" customFormat="1" ht="15.75" customHeight="1" x14ac:dyDescent="0.15"/>
    <row r="147" s="1" customFormat="1" ht="15.75" customHeight="1" x14ac:dyDescent="0.15"/>
    <row r="148" s="1" customFormat="1" ht="15.75" customHeight="1" x14ac:dyDescent="0.15"/>
    <row r="149" s="1" customFormat="1" ht="15.75" customHeight="1" x14ac:dyDescent="0.15"/>
    <row r="150" s="1" customFormat="1" ht="15.75" customHeight="1" x14ac:dyDescent="0.15"/>
    <row r="151" s="1" customFormat="1" ht="15.75" customHeight="1" x14ac:dyDescent="0.15"/>
    <row r="152" s="1" customFormat="1" ht="15.75" customHeight="1" x14ac:dyDescent="0.15"/>
    <row r="153" s="1" customFormat="1" ht="15.75" customHeight="1" x14ac:dyDescent="0.15"/>
    <row r="154" s="1" customFormat="1" ht="15.75" customHeight="1" x14ac:dyDescent="0.15"/>
    <row r="155" s="1" customFormat="1" ht="15.75" customHeight="1" x14ac:dyDescent="0.15"/>
    <row r="156" s="1" customFormat="1" ht="15.75" customHeight="1" x14ac:dyDescent="0.15"/>
    <row r="157" s="1" customFormat="1" ht="15.75" customHeight="1" x14ac:dyDescent="0.15"/>
    <row r="158" s="1" customFormat="1" ht="15.75" customHeight="1" x14ac:dyDescent="0.15"/>
    <row r="159" s="1" customFormat="1" ht="15.75" customHeight="1" x14ac:dyDescent="0.15"/>
    <row r="160" s="1" customFormat="1" ht="15.75" customHeight="1" x14ac:dyDescent="0.15"/>
    <row r="161" s="1" customFormat="1" ht="15.75" customHeight="1" x14ac:dyDescent="0.15"/>
    <row r="162" s="1" customFormat="1" ht="15.75" customHeight="1" x14ac:dyDescent="0.15"/>
    <row r="163" s="1" customFormat="1" ht="15.75" customHeight="1" x14ac:dyDescent="0.15"/>
    <row r="164" s="1" customFormat="1" ht="15.75" customHeight="1" x14ac:dyDescent="0.15"/>
    <row r="165" s="1" customFormat="1" ht="15.75" customHeight="1" x14ac:dyDescent="0.15"/>
    <row r="166" s="1" customFormat="1" ht="15.75" customHeight="1" x14ac:dyDescent="0.15"/>
    <row r="167" s="1" customFormat="1" ht="15.75" customHeight="1" x14ac:dyDescent="0.15"/>
    <row r="168" s="1" customFormat="1" ht="15.75" customHeight="1" x14ac:dyDescent="0.15"/>
    <row r="169" s="1" customFormat="1" ht="15.75" customHeight="1" x14ac:dyDescent="0.15"/>
    <row r="170" s="1" customFormat="1" ht="15.75" customHeight="1" x14ac:dyDescent="0.15"/>
    <row r="171" s="1" customFormat="1" ht="15.75" customHeight="1" x14ac:dyDescent="0.15"/>
    <row r="172" s="1" customFormat="1" ht="15.75" customHeight="1" x14ac:dyDescent="0.15"/>
    <row r="173" s="1" customFormat="1" ht="15.75" customHeight="1" x14ac:dyDescent="0.15"/>
    <row r="174" s="1" customFormat="1" ht="15.75" customHeight="1" x14ac:dyDescent="0.15"/>
    <row r="175" s="1" customFormat="1" ht="15.75" customHeight="1" x14ac:dyDescent="0.15"/>
    <row r="176" s="1" customFormat="1" ht="15.75" customHeight="1" x14ac:dyDescent="0.15"/>
    <row r="177" s="1" customFormat="1" ht="15.75" customHeight="1" x14ac:dyDescent="0.15"/>
    <row r="178" s="1" customFormat="1" ht="15.75" customHeight="1" x14ac:dyDescent="0.15"/>
    <row r="179" s="1" customFormat="1" ht="15.75" customHeight="1" x14ac:dyDescent="0.15"/>
    <row r="180" s="1" customFormat="1" ht="15.75" customHeight="1" x14ac:dyDescent="0.15"/>
    <row r="181" s="1" customFormat="1" ht="15.75" customHeight="1" x14ac:dyDescent="0.15"/>
    <row r="182" s="1" customFormat="1" ht="15.75" customHeight="1" x14ac:dyDescent="0.15"/>
    <row r="183" s="1" customFormat="1" ht="15.75" customHeight="1" x14ac:dyDescent="0.15"/>
    <row r="184" s="1" customFormat="1" ht="15.75" customHeight="1" x14ac:dyDescent="0.15"/>
    <row r="185" s="1" customFormat="1" ht="15.75" customHeight="1" x14ac:dyDescent="0.15"/>
    <row r="186" s="1" customFormat="1" ht="15.75" customHeight="1" x14ac:dyDescent="0.15"/>
    <row r="187" s="1" customFormat="1" ht="15.75" customHeight="1" x14ac:dyDescent="0.15"/>
    <row r="188" s="1" customFormat="1" ht="15.75" customHeight="1" x14ac:dyDescent="0.15"/>
    <row r="189" s="1" customFormat="1" ht="15.75" customHeight="1" x14ac:dyDescent="0.15"/>
    <row r="190" s="1" customFormat="1" ht="15.75" customHeight="1" x14ac:dyDescent="0.15"/>
    <row r="191" s="1" customFormat="1" ht="15.75" customHeight="1" x14ac:dyDescent="0.15"/>
    <row r="192" s="1" customFormat="1" ht="15.75" customHeight="1" x14ac:dyDescent="0.15"/>
    <row r="193" s="1" customFormat="1" ht="15.75" customHeight="1" x14ac:dyDescent="0.15"/>
    <row r="194" s="1" customFormat="1" ht="15.75" customHeight="1" x14ac:dyDescent="0.15"/>
    <row r="195" s="1" customFormat="1" ht="15.75" customHeight="1" x14ac:dyDescent="0.15"/>
    <row r="196" s="1" customFormat="1" ht="15.75" customHeight="1" x14ac:dyDescent="0.15"/>
    <row r="197" s="1" customFormat="1" ht="15.75" customHeight="1" x14ac:dyDescent="0.15"/>
    <row r="198" s="1" customFormat="1" ht="15.75" customHeight="1" x14ac:dyDescent="0.15"/>
    <row r="199" s="1" customFormat="1" ht="15.75" customHeight="1" x14ac:dyDescent="0.15"/>
    <row r="200" s="1" customFormat="1" ht="15.75" customHeight="1" x14ac:dyDescent="0.15"/>
    <row r="201" s="1" customFormat="1" ht="15.75" customHeight="1" x14ac:dyDescent="0.15"/>
    <row r="202" s="1" customFormat="1" ht="15.75" customHeight="1" x14ac:dyDescent="0.15"/>
    <row r="203" s="1" customFormat="1" ht="15.75" customHeight="1" x14ac:dyDescent="0.15"/>
    <row r="204" s="1" customFormat="1" ht="15.75" customHeight="1" x14ac:dyDescent="0.15"/>
    <row r="205" s="1" customFormat="1" ht="15.75" customHeight="1" x14ac:dyDescent="0.15"/>
    <row r="206" s="1" customFormat="1" ht="15.75" customHeight="1" x14ac:dyDescent="0.15"/>
    <row r="207" s="1" customFormat="1" ht="15.75" customHeight="1" x14ac:dyDescent="0.15"/>
    <row r="208" s="1" customFormat="1" ht="15.75" customHeight="1" x14ac:dyDescent="0.15"/>
    <row r="209" s="1" customFormat="1" ht="15.75" customHeight="1" x14ac:dyDescent="0.15"/>
    <row r="210" s="1" customFormat="1" ht="15.75" customHeight="1" x14ac:dyDescent="0.15"/>
    <row r="211" s="1" customFormat="1" ht="15.75" customHeight="1" x14ac:dyDescent="0.15"/>
    <row r="212" s="1" customFormat="1" ht="15.75" customHeight="1" x14ac:dyDescent="0.15"/>
    <row r="213" s="1" customFormat="1" ht="15.75" customHeight="1" x14ac:dyDescent="0.15"/>
    <row r="214" s="1" customFormat="1" ht="15.75" customHeight="1" x14ac:dyDescent="0.15"/>
    <row r="215" s="1" customFormat="1" ht="15.75" customHeight="1" x14ac:dyDescent="0.15"/>
    <row r="216" s="1" customFormat="1" ht="15.75" customHeight="1" x14ac:dyDescent="0.15"/>
    <row r="217" s="1" customFormat="1" ht="15.75" customHeight="1" x14ac:dyDescent="0.15"/>
    <row r="218" s="1" customFormat="1" ht="15.75" customHeight="1" x14ac:dyDescent="0.15"/>
    <row r="219" s="1" customFormat="1" ht="15.75" customHeight="1" x14ac:dyDescent="0.15"/>
    <row r="220" s="1" customFormat="1" ht="15.75" customHeight="1" x14ac:dyDescent="0.15"/>
    <row r="221" s="1" customFormat="1" ht="15.75" customHeight="1" x14ac:dyDescent="0.15"/>
    <row r="222" s="1" customFormat="1" ht="15.75" customHeight="1" x14ac:dyDescent="0.15"/>
    <row r="223" s="1" customFormat="1" ht="15.75" customHeight="1" x14ac:dyDescent="0.15"/>
    <row r="224" s="1" customFormat="1" ht="15.75" customHeight="1" x14ac:dyDescent="0.15"/>
    <row r="225" s="1" customFormat="1" ht="15.75" customHeight="1" x14ac:dyDescent="0.15"/>
    <row r="226" s="1" customFormat="1" ht="15.75" customHeight="1" x14ac:dyDescent="0.15"/>
    <row r="227" s="1" customFormat="1" ht="15.75" customHeight="1" x14ac:dyDescent="0.15"/>
    <row r="228" s="1" customFormat="1" ht="15.75" customHeight="1" x14ac:dyDescent="0.15"/>
    <row r="229" s="1" customFormat="1" ht="15.75" customHeight="1" x14ac:dyDescent="0.15"/>
    <row r="230" s="1" customFormat="1" ht="15.75" customHeight="1" x14ac:dyDescent="0.15"/>
    <row r="231" s="1" customFormat="1" ht="15.75" customHeight="1" x14ac:dyDescent="0.15"/>
    <row r="232" s="1" customFormat="1" ht="15.75" customHeight="1" x14ac:dyDescent="0.15"/>
    <row r="233" s="1" customFormat="1" ht="15.75" customHeight="1" x14ac:dyDescent="0.15"/>
    <row r="234" s="1" customFormat="1" ht="15.75" customHeight="1" x14ac:dyDescent="0.15"/>
    <row r="235" s="1" customFormat="1" ht="15.75" customHeight="1" x14ac:dyDescent="0.15"/>
    <row r="236" s="1" customFormat="1" ht="15.75" customHeight="1" x14ac:dyDescent="0.15"/>
    <row r="237" s="1" customFormat="1" ht="15.75" customHeight="1" x14ac:dyDescent="0.15"/>
    <row r="238" s="1" customFormat="1" ht="15.75" customHeight="1" x14ac:dyDescent="0.15"/>
    <row r="239" s="1" customFormat="1" ht="15.75" customHeight="1" x14ac:dyDescent="0.15"/>
    <row r="240" s="1" customFormat="1" ht="15.75" customHeight="1" x14ac:dyDescent="0.15"/>
    <row r="241" s="1" customFormat="1" ht="15.75" customHeight="1" x14ac:dyDescent="0.15"/>
    <row r="242" s="1" customFormat="1" ht="15.75" customHeight="1" x14ac:dyDescent="0.15"/>
    <row r="243" s="1" customFormat="1" ht="15.75" customHeight="1" x14ac:dyDescent="0.15"/>
    <row r="244" s="1" customFormat="1" ht="15.75" customHeight="1" x14ac:dyDescent="0.15"/>
    <row r="245" s="1" customFormat="1" ht="15.75" customHeight="1" x14ac:dyDescent="0.15"/>
    <row r="246" s="1" customFormat="1" ht="15.75" customHeight="1" x14ac:dyDescent="0.15"/>
    <row r="247" s="1" customFormat="1" ht="15.75" customHeight="1" x14ac:dyDescent="0.15"/>
    <row r="248" s="1" customFormat="1" ht="15.75" customHeight="1" x14ac:dyDescent="0.15"/>
    <row r="249" s="1" customFormat="1" ht="15.75" customHeight="1" x14ac:dyDescent="0.15"/>
    <row r="250" s="1" customFormat="1" ht="15.75" customHeight="1" x14ac:dyDescent="0.15"/>
    <row r="251" s="1" customFormat="1" ht="15.75" customHeight="1" x14ac:dyDescent="0.15"/>
    <row r="252" s="1" customFormat="1" ht="15.75" customHeight="1" x14ac:dyDescent="0.15"/>
    <row r="253" s="1" customFormat="1" ht="15.75" customHeight="1" x14ac:dyDescent="0.15"/>
    <row r="254" s="1" customFormat="1" ht="15.75" customHeight="1" x14ac:dyDescent="0.15"/>
    <row r="255" s="1" customFormat="1" ht="15.75" customHeight="1" x14ac:dyDescent="0.15"/>
    <row r="256" s="1" customFormat="1" ht="15.75" customHeight="1" x14ac:dyDescent="0.15"/>
    <row r="257" s="1" customFormat="1" ht="15.75" customHeight="1" x14ac:dyDescent="0.15"/>
    <row r="258" s="1" customFormat="1" ht="15.75" customHeight="1" x14ac:dyDescent="0.15"/>
    <row r="259" s="1" customFormat="1" ht="15.75" customHeight="1" x14ac:dyDescent="0.15"/>
    <row r="260" s="1" customFormat="1" ht="15.75" customHeight="1" x14ac:dyDescent="0.15"/>
    <row r="261" s="1" customFormat="1" ht="15.75" customHeight="1" x14ac:dyDescent="0.15"/>
    <row r="262" s="1" customFormat="1" ht="15.75" customHeight="1" x14ac:dyDescent="0.15"/>
    <row r="263" s="1" customFormat="1" ht="15.75" customHeight="1" x14ac:dyDescent="0.15"/>
    <row r="264" s="1" customFormat="1" ht="15.75" customHeight="1" x14ac:dyDescent="0.15"/>
    <row r="265" s="1" customFormat="1" ht="15.75" customHeight="1" x14ac:dyDescent="0.15"/>
    <row r="266" s="1" customFormat="1" ht="15.75" customHeight="1" x14ac:dyDescent="0.15"/>
    <row r="267" s="1" customFormat="1" ht="15.75" customHeight="1" x14ac:dyDescent="0.15"/>
    <row r="268" s="1" customFormat="1" ht="15.75" customHeight="1" x14ac:dyDescent="0.15"/>
    <row r="269" s="1" customFormat="1" ht="15.75" customHeight="1" x14ac:dyDescent="0.15"/>
    <row r="270" s="1" customFormat="1" ht="15.75" customHeight="1" x14ac:dyDescent="0.15"/>
    <row r="271" s="1" customFormat="1" ht="15.75" customHeight="1" x14ac:dyDescent="0.15"/>
    <row r="272" s="1" customFormat="1" ht="15.75" customHeight="1" x14ac:dyDescent="0.15"/>
    <row r="273" s="1" customFormat="1" ht="15.75" customHeight="1" x14ac:dyDescent="0.15"/>
    <row r="274" s="1" customFormat="1" ht="15.75" customHeight="1" x14ac:dyDescent="0.15"/>
    <row r="275" s="1" customFormat="1" ht="15.75" customHeight="1" x14ac:dyDescent="0.15"/>
    <row r="276" s="1" customFormat="1" ht="15.75" customHeight="1" x14ac:dyDescent="0.15"/>
    <row r="277" s="1" customFormat="1" ht="15.75" customHeight="1" x14ac:dyDescent="0.15"/>
    <row r="278" s="1" customFormat="1" ht="15.75" customHeight="1" x14ac:dyDescent="0.15"/>
    <row r="279" s="1" customFormat="1" ht="15.75" customHeight="1" x14ac:dyDescent="0.15"/>
    <row r="280" s="1" customFormat="1" ht="15.75" customHeight="1" x14ac:dyDescent="0.15"/>
    <row r="281" s="1" customFormat="1" ht="15.75" customHeight="1" x14ac:dyDescent="0.15"/>
    <row r="282" s="1" customFormat="1" ht="15.75" customHeight="1" x14ac:dyDescent="0.15"/>
    <row r="283" s="1" customFormat="1" ht="15.75" customHeight="1" x14ac:dyDescent="0.15"/>
    <row r="284" s="1" customFormat="1" ht="15.75" customHeight="1" x14ac:dyDescent="0.15"/>
    <row r="285" s="1" customFormat="1" ht="15.75" customHeight="1" x14ac:dyDescent="0.15"/>
    <row r="286" s="1" customFormat="1" ht="15.75" customHeight="1" x14ac:dyDescent="0.15"/>
    <row r="287" s="1" customFormat="1" ht="15.75" customHeight="1" x14ac:dyDescent="0.15"/>
    <row r="288" s="1" customFormat="1" ht="15.75" customHeight="1" x14ac:dyDescent="0.15"/>
    <row r="289" s="1" customFormat="1" ht="15.75" customHeight="1" x14ac:dyDescent="0.15"/>
    <row r="290" s="1" customFormat="1" ht="15.75" customHeight="1" x14ac:dyDescent="0.15"/>
    <row r="291" s="1" customFormat="1" ht="15.75" customHeight="1" x14ac:dyDescent="0.15"/>
    <row r="292" s="1" customFormat="1" ht="15.75" customHeight="1" x14ac:dyDescent="0.15"/>
    <row r="293" s="1" customFormat="1" ht="15.75" customHeight="1" x14ac:dyDescent="0.15"/>
    <row r="294" s="1" customFormat="1" ht="15.75" customHeight="1" x14ac:dyDescent="0.15"/>
    <row r="295" s="1" customFormat="1" ht="15.75" customHeight="1" x14ac:dyDescent="0.15"/>
    <row r="296" s="1" customFormat="1" ht="15.75" customHeight="1" x14ac:dyDescent="0.15"/>
    <row r="297" s="1" customFormat="1" ht="15.75" customHeight="1" x14ac:dyDescent="0.15"/>
    <row r="298" s="1" customFormat="1" ht="15.75" customHeight="1" x14ac:dyDescent="0.15"/>
    <row r="299" s="1" customFormat="1" ht="15.75" customHeight="1" x14ac:dyDescent="0.15"/>
    <row r="300" s="1" customFormat="1" ht="15.75" customHeight="1" x14ac:dyDescent="0.15"/>
    <row r="301" s="1" customFormat="1" ht="15.75" customHeight="1" x14ac:dyDescent="0.15"/>
    <row r="302" s="1" customFormat="1" ht="15.75" customHeight="1" x14ac:dyDescent="0.15"/>
    <row r="303" s="1" customFormat="1" ht="15.75" customHeight="1" x14ac:dyDescent="0.15"/>
    <row r="304" s="1" customFormat="1" ht="15.75" customHeight="1" x14ac:dyDescent="0.15"/>
    <row r="305" s="1" customFormat="1" ht="15.75" customHeight="1" x14ac:dyDescent="0.15"/>
    <row r="306" s="1" customFormat="1" ht="15.75" customHeight="1" x14ac:dyDescent="0.15"/>
    <row r="307" s="1" customFormat="1" ht="15.75" customHeight="1" x14ac:dyDescent="0.15"/>
    <row r="308" s="1" customFormat="1" ht="15.75" customHeight="1" x14ac:dyDescent="0.15"/>
    <row r="309" s="1" customFormat="1" ht="15.75" customHeight="1" x14ac:dyDescent="0.15"/>
    <row r="310" s="1" customFormat="1" ht="15.75" customHeight="1" x14ac:dyDescent="0.15"/>
    <row r="311" s="1" customFormat="1" ht="15.75" customHeight="1" x14ac:dyDescent="0.15"/>
    <row r="312" s="1" customFormat="1" ht="15.75" customHeight="1" x14ac:dyDescent="0.15"/>
    <row r="313" s="1" customFormat="1" ht="15.75" customHeight="1" x14ac:dyDescent="0.15"/>
    <row r="314" s="1" customFormat="1" ht="15.75" customHeight="1" x14ac:dyDescent="0.15"/>
    <row r="315" s="1" customFormat="1" ht="15.75" customHeight="1" x14ac:dyDescent="0.15"/>
    <row r="316" s="1" customFormat="1" ht="15.75" customHeight="1" x14ac:dyDescent="0.15"/>
    <row r="317" s="1" customFormat="1" ht="15.75" customHeight="1" x14ac:dyDescent="0.15"/>
    <row r="318" s="1" customFormat="1" ht="15.75" customHeight="1" x14ac:dyDescent="0.15"/>
    <row r="319" s="1" customFormat="1" ht="15.75" customHeight="1" x14ac:dyDescent="0.15"/>
    <row r="320" s="1" customFormat="1" ht="15.75" customHeight="1" x14ac:dyDescent="0.15"/>
    <row r="321" s="1" customFormat="1" ht="15.75" customHeight="1" x14ac:dyDescent="0.15"/>
    <row r="322" s="1" customFormat="1" ht="15.75" customHeight="1" x14ac:dyDescent="0.15"/>
    <row r="323" s="1" customFormat="1" ht="15.75" customHeight="1" x14ac:dyDescent="0.15"/>
    <row r="324" s="1" customFormat="1" ht="15.75" customHeight="1" x14ac:dyDescent="0.15"/>
    <row r="325" s="1" customFormat="1" ht="15.75" customHeight="1" x14ac:dyDescent="0.15"/>
    <row r="326" s="1" customFormat="1" ht="15.75" customHeight="1" x14ac:dyDescent="0.15"/>
    <row r="327" s="1" customFormat="1" ht="15.75" customHeight="1" x14ac:dyDescent="0.15"/>
    <row r="328" s="1" customFormat="1" ht="15.75" customHeight="1" x14ac:dyDescent="0.15"/>
    <row r="329" s="1" customFormat="1" ht="15.75" customHeight="1" x14ac:dyDescent="0.15"/>
    <row r="330" s="1" customFormat="1" ht="15.75" customHeight="1" x14ac:dyDescent="0.15"/>
    <row r="331" s="1" customFormat="1" ht="15.75" customHeight="1" x14ac:dyDescent="0.15"/>
    <row r="332" s="1" customFormat="1" ht="15.75" customHeight="1" x14ac:dyDescent="0.15"/>
    <row r="333" s="1" customFormat="1" ht="15.75" customHeight="1" x14ac:dyDescent="0.15"/>
    <row r="334" s="1" customFormat="1" ht="15.75" customHeight="1" x14ac:dyDescent="0.15"/>
    <row r="335" s="1" customFormat="1" ht="15.75" customHeight="1" x14ac:dyDescent="0.15"/>
    <row r="336" s="1" customFormat="1" ht="15.75" customHeight="1" x14ac:dyDescent="0.15"/>
    <row r="337" s="1" customFormat="1" ht="15.75" customHeight="1" x14ac:dyDescent="0.15"/>
    <row r="338" s="1" customFormat="1" ht="15.75" customHeight="1" x14ac:dyDescent="0.15"/>
    <row r="339" s="1" customFormat="1" ht="15.75" customHeight="1" x14ac:dyDescent="0.15"/>
    <row r="340" s="1" customFormat="1" ht="15.75" customHeight="1" x14ac:dyDescent="0.15"/>
    <row r="341" s="1" customFormat="1" ht="15.75" customHeight="1" x14ac:dyDescent="0.15"/>
    <row r="342" s="1" customFormat="1" ht="15.75" customHeight="1" x14ac:dyDescent="0.15"/>
    <row r="343" s="1" customFormat="1" ht="15.75" customHeight="1" x14ac:dyDescent="0.15"/>
    <row r="344" s="1" customFormat="1" ht="15.75" customHeight="1" x14ac:dyDescent="0.15"/>
    <row r="345" s="1" customFormat="1" ht="15.75" customHeight="1" x14ac:dyDescent="0.15"/>
    <row r="346" s="1" customFormat="1" ht="15.75" customHeight="1" x14ac:dyDescent="0.15"/>
    <row r="347" s="1" customFormat="1" ht="15.75" customHeight="1" x14ac:dyDescent="0.15"/>
    <row r="348" s="1" customFormat="1" ht="15.75" customHeight="1" x14ac:dyDescent="0.15"/>
    <row r="349" s="1" customFormat="1" ht="15.75" customHeight="1" x14ac:dyDescent="0.15"/>
    <row r="350" s="1" customFormat="1" ht="15.75" customHeight="1" x14ac:dyDescent="0.15"/>
    <row r="351" s="1" customFormat="1" ht="15.75" customHeight="1" x14ac:dyDescent="0.15"/>
    <row r="352" s="1" customFormat="1" ht="15.75" customHeight="1" x14ac:dyDescent="0.15"/>
    <row r="353" s="1" customFormat="1" ht="15.75" customHeight="1" x14ac:dyDescent="0.15"/>
    <row r="354" s="1" customFormat="1" ht="15.75" customHeight="1" x14ac:dyDescent="0.15"/>
    <row r="355" s="1" customFormat="1" ht="15.75" customHeight="1" x14ac:dyDescent="0.15"/>
    <row r="356" s="1" customFormat="1" ht="15.75" customHeight="1" x14ac:dyDescent="0.15"/>
    <row r="357" s="1" customFormat="1" ht="15.75" customHeight="1" x14ac:dyDescent="0.15"/>
    <row r="358" s="1" customFormat="1" ht="15.75" customHeight="1" x14ac:dyDescent="0.15"/>
    <row r="359" s="1" customFormat="1" ht="15.75" customHeight="1" x14ac:dyDescent="0.15"/>
    <row r="360" s="1" customFormat="1" ht="15.75" customHeight="1" x14ac:dyDescent="0.15"/>
    <row r="361" s="1" customFormat="1" ht="15.75" customHeight="1" x14ac:dyDescent="0.15"/>
    <row r="362" s="1" customFormat="1" ht="15.75" customHeight="1" x14ac:dyDescent="0.15"/>
    <row r="363" s="1" customFormat="1" ht="15.75" customHeight="1" x14ac:dyDescent="0.15"/>
    <row r="364" s="1" customFormat="1" ht="15.75" customHeight="1" x14ac:dyDescent="0.15"/>
    <row r="365" s="1" customFormat="1" ht="15.75" customHeight="1" x14ac:dyDescent="0.15"/>
    <row r="366" s="1" customFormat="1" ht="15.75" customHeight="1" x14ac:dyDescent="0.15"/>
    <row r="367" s="1" customFormat="1" ht="15.75" customHeight="1" x14ac:dyDescent="0.15"/>
    <row r="368" s="1" customFormat="1" ht="15.75" customHeight="1" x14ac:dyDescent="0.15"/>
    <row r="369" s="1" customFormat="1" ht="15.75" customHeight="1" x14ac:dyDescent="0.15"/>
    <row r="370" s="1" customFormat="1" ht="15.75" customHeight="1" x14ac:dyDescent="0.15"/>
    <row r="371" s="1" customFormat="1" ht="15.75" customHeight="1" x14ac:dyDescent="0.15"/>
    <row r="372" s="1" customFormat="1" ht="15.75" customHeight="1" x14ac:dyDescent="0.15"/>
    <row r="373" s="1" customFormat="1" ht="15.75" customHeight="1" x14ac:dyDescent="0.15"/>
    <row r="374" s="1" customFormat="1" ht="15.75" customHeight="1" x14ac:dyDescent="0.15"/>
    <row r="375" s="1" customFormat="1" ht="15.75" customHeight="1" x14ac:dyDescent="0.15"/>
    <row r="376" s="1" customFormat="1" ht="15.75" customHeight="1" x14ac:dyDescent="0.15"/>
    <row r="377" s="1" customFormat="1" ht="15.75" customHeight="1" x14ac:dyDescent="0.15"/>
    <row r="378" s="1" customFormat="1" ht="15.75" customHeight="1" x14ac:dyDescent="0.15"/>
    <row r="379" s="1" customFormat="1" ht="15.75" customHeight="1" x14ac:dyDescent="0.15"/>
    <row r="380" s="1" customFormat="1" ht="15.75" customHeight="1" x14ac:dyDescent="0.15"/>
    <row r="381" s="1" customFormat="1" ht="15.75" customHeight="1" x14ac:dyDescent="0.15"/>
    <row r="382" s="1" customFormat="1" ht="15.75" customHeight="1" x14ac:dyDescent="0.15"/>
    <row r="383" s="1" customFormat="1" ht="15.75" customHeight="1" x14ac:dyDescent="0.15"/>
    <row r="384" s="1" customFormat="1" ht="15.75" customHeight="1" x14ac:dyDescent="0.15"/>
    <row r="385" s="1" customFormat="1" ht="15.75" customHeight="1" x14ac:dyDescent="0.15"/>
    <row r="386" s="1" customFormat="1" ht="15.75" customHeight="1" x14ac:dyDescent="0.15"/>
    <row r="387" s="1" customFormat="1" ht="15.75" customHeight="1" x14ac:dyDescent="0.15"/>
    <row r="388" s="1" customFormat="1" ht="15.75" customHeight="1" x14ac:dyDescent="0.15"/>
    <row r="389" s="1" customFormat="1" ht="15.75" customHeight="1" x14ac:dyDescent="0.15"/>
    <row r="390" s="1" customFormat="1" ht="15.75" customHeight="1" x14ac:dyDescent="0.15"/>
    <row r="391" s="1" customFormat="1" ht="15.75" customHeight="1" x14ac:dyDescent="0.15"/>
    <row r="392" s="1" customFormat="1" ht="15.75" customHeight="1" x14ac:dyDescent="0.15"/>
    <row r="393" s="1" customFormat="1" ht="15.75" customHeight="1" x14ac:dyDescent="0.15"/>
    <row r="394" s="1" customFormat="1" ht="15.75" customHeight="1" x14ac:dyDescent="0.15"/>
    <row r="395" s="1" customFormat="1" ht="15.75" customHeight="1" x14ac:dyDescent="0.15"/>
    <row r="396" s="1" customFormat="1" ht="15.75" customHeight="1" x14ac:dyDescent="0.15"/>
    <row r="397" s="1" customFormat="1" ht="15.75" customHeight="1" x14ac:dyDescent="0.15"/>
    <row r="398" s="1" customFormat="1" ht="15.75" customHeight="1" x14ac:dyDescent="0.15"/>
    <row r="399" s="1" customFormat="1" ht="15.75" customHeight="1" x14ac:dyDescent="0.15"/>
    <row r="400" s="1" customFormat="1" ht="15.75" customHeight="1" x14ac:dyDescent="0.15"/>
    <row r="401" s="1" customFormat="1" ht="15.75" customHeight="1" x14ac:dyDescent="0.15"/>
    <row r="402" s="1" customFormat="1" ht="15.75" customHeight="1" x14ac:dyDescent="0.15"/>
    <row r="403" s="1" customFormat="1" ht="15.75" customHeight="1" x14ac:dyDescent="0.15"/>
    <row r="404" s="1" customFormat="1" ht="15.75" customHeight="1" x14ac:dyDescent="0.15"/>
    <row r="405" s="1" customFormat="1" ht="15.75" customHeight="1" x14ac:dyDescent="0.15"/>
    <row r="406" s="1" customFormat="1" ht="15.75" customHeight="1" x14ac:dyDescent="0.15"/>
    <row r="407" s="1" customFormat="1" ht="15.75" customHeight="1" x14ac:dyDescent="0.15"/>
    <row r="408" s="1" customFormat="1" ht="15.75" customHeight="1" x14ac:dyDescent="0.15"/>
    <row r="409" s="1" customFormat="1" ht="15.75" customHeight="1" x14ac:dyDescent="0.15"/>
    <row r="410" s="1" customFormat="1" ht="15.75" customHeight="1" x14ac:dyDescent="0.15"/>
    <row r="411" s="1" customFormat="1" ht="15.75" customHeight="1" x14ac:dyDescent="0.15"/>
    <row r="412" s="1" customFormat="1" ht="15.75" customHeight="1" x14ac:dyDescent="0.15"/>
    <row r="413" s="1" customFormat="1" ht="15.75" customHeight="1" x14ac:dyDescent="0.15"/>
    <row r="414" s="1" customFormat="1" ht="15.75" customHeight="1" x14ac:dyDescent="0.15"/>
    <row r="415" s="1" customFormat="1" ht="15.75" customHeight="1" x14ac:dyDescent="0.15"/>
    <row r="416" s="1" customFormat="1" ht="15.75" customHeight="1" x14ac:dyDescent="0.15"/>
    <row r="417" s="1" customFormat="1" ht="15.75" customHeight="1" x14ac:dyDescent="0.15"/>
    <row r="418" s="1" customFormat="1" ht="15.75" customHeight="1" x14ac:dyDescent="0.15"/>
    <row r="419" s="1" customFormat="1" ht="15.75" customHeight="1" x14ac:dyDescent="0.15"/>
    <row r="420" s="1" customFormat="1" ht="15.75" customHeight="1" x14ac:dyDescent="0.15"/>
    <row r="421" s="1" customFormat="1" ht="15.75" customHeight="1" x14ac:dyDescent="0.15"/>
    <row r="422" s="1" customFormat="1" ht="15.75" customHeight="1" x14ac:dyDescent="0.15"/>
    <row r="423" s="1" customFormat="1" ht="15.75" customHeight="1" x14ac:dyDescent="0.15"/>
    <row r="424" s="1" customFormat="1" ht="15.75" customHeight="1" x14ac:dyDescent="0.15"/>
    <row r="425" s="1" customFormat="1" ht="15.75" customHeight="1" x14ac:dyDescent="0.15"/>
    <row r="426" s="1" customFormat="1" ht="15.75" customHeight="1" x14ac:dyDescent="0.15"/>
    <row r="427" s="1" customFormat="1" ht="15.75" customHeight="1" x14ac:dyDescent="0.15"/>
    <row r="428" s="1" customFormat="1" ht="15.75" customHeight="1" x14ac:dyDescent="0.15"/>
    <row r="429" s="1" customFormat="1" ht="15.75" customHeight="1" x14ac:dyDescent="0.15"/>
    <row r="430" s="1" customFormat="1" ht="15.75" customHeight="1" x14ac:dyDescent="0.15"/>
    <row r="431" s="1" customFormat="1" ht="15.75" customHeight="1" x14ac:dyDescent="0.15"/>
    <row r="432" s="1" customFormat="1" ht="15.75" customHeight="1" x14ac:dyDescent="0.15"/>
    <row r="433" s="1" customFormat="1" ht="15.75" customHeight="1" x14ac:dyDescent="0.15"/>
    <row r="434" s="1" customFormat="1" ht="15.75" customHeight="1" x14ac:dyDescent="0.15"/>
    <row r="435" s="1" customFormat="1" ht="15.75" customHeight="1" x14ac:dyDescent="0.15"/>
    <row r="436" s="1" customFormat="1" ht="15.75" customHeight="1" x14ac:dyDescent="0.15"/>
    <row r="437" s="1" customFormat="1" ht="15.75" customHeight="1" x14ac:dyDescent="0.15"/>
    <row r="438" s="1" customFormat="1" ht="15.75" customHeight="1" x14ac:dyDescent="0.15"/>
    <row r="439" s="1" customFormat="1" ht="15.75" customHeight="1" x14ac:dyDescent="0.15"/>
    <row r="440" s="1" customFormat="1" ht="15.75" customHeight="1" x14ac:dyDescent="0.15"/>
    <row r="441" s="1" customFormat="1" ht="15.75" customHeight="1" x14ac:dyDescent="0.15"/>
    <row r="442" s="1" customFormat="1" ht="15.75" customHeight="1" x14ac:dyDescent="0.15"/>
    <row r="443" s="1" customFormat="1" ht="15.75" customHeight="1" x14ac:dyDescent="0.15"/>
    <row r="444" s="1" customFormat="1" ht="15.75" customHeight="1" x14ac:dyDescent="0.15"/>
    <row r="445" s="1" customFormat="1" ht="15.75" customHeight="1" x14ac:dyDescent="0.15"/>
    <row r="446" s="1" customFormat="1" ht="15.75" customHeight="1" x14ac:dyDescent="0.15"/>
    <row r="447" s="1" customFormat="1" ht="15.75" customHeight="1" x14ac:dyDescent="0.15"/>
    <row r="448" s="1" customFormat="1" ht="15.75" customHeight="1" x14ac:dyDescent="0.15"/>
    <row r="449" s="1" customFormat="1" ht="15.75" customHeight="1" x14ac:dyDescent="0.15"/>
    <row r="450" s="1" customFormat="1" ht="15.75" customHeight="1" x14ac:dyDescent="0.15"/>
    <row r="451" s="1" customFormat="1" ht="15.75" customHeight="1" x14ac:dyDescent="0.15"/>
    <row r="452" s="1" customFormat="1" ht="15.75" customHeight="1" x14ac:dyDescent="0.15"/>
    <row r="453" s="1" customFormat="1" ht="15.75" customHeight="1" x14ac:dyDescent="0.15"/>
    <row r="454" s="1" customFormat="1" ht="15.75" customHeight="1" x14ac:dyDescent="0.15"/>
    <row r="455" s="1" customFormat="1" ht="15.75" customHeight="1" x14ac:dyDescent="0.15"/>
    <row r="456" s="1" customFormat="1" ht="15.75" customHeight="1" x14ac:dyDescent="0.15"/>
    <row r="457" s="1" customFormat="1" ht="15.75" customHeight="1" x14ac:dyDescent="0.15"/>
    <row r="458" s="1" customFormat="1" ht="15.75" customHeight="1" x14ac:dyDescent="0.15"/>
    <row r="459" s="1" customFormat="1" ht="15.75" customHeight="1" x14ac:dyDescent="0.15"/>
    <row r="460" s="1" customFormat="1" ht="15.75" customHeight="1" x14ac:dyDescent="0.15"/>
    <row r="461" s="1" customFormat="1" ht="15.75" customHeight="1" x14ac:dyDescent="0.15"/>
    <row r="462" s="1" customFormat="1" ht="15.75" customHeight="1" x14ac:dyDescent="0.15"/>
    <row r="463" s="1" customFormat="1" ht="15.75" customHeight="1" x14ac:dyDescent="0.15"/>
    <row r="464" s="1" customFormat="1" ht="15.75" customHeight="1" x14ac:dyDescent="0.15"/>
    <row r="465" s="1" customFormat="1" ht="15.75" customHeight="1" x14ac:dyDescent="0.15"/>
    <row r="466" s="1" customFormat="1" ht="15.75" customHeight="1" x14ac:dyDescent="0.15"/>
    <row r="467" s="1" customFormat="1" ht="15.75" customHeight="1" x14ac:dyDescent="0.15"/>
    <row r="468" s="1" customFormat="1" ht="15.75" customHeight="1" x14ac:dyDescent="0.15"/>
    <row r="469" s="1" customFormat="1" ht="15.75" customHeight="1" x14ac:dyDescent="0.15"/>
    <row r="470" s="1" customFormat="1" ht="15.75" customHeight="1" x14ac:dyDescent="0.15"/>
    <row r="471" s="1" customFormat="1" ht="15.75" customHeight="1" x14ac:dyDescent="0.15"/>
    <row r="472" s="1" customFormat="1" ht="15.75" customHeight="1" x14ac:dyDescent="0.15"/>
    <row r="473" s="1" customFormat="1" ht="15.75" customHeight="1" x14ac:dyDescent="0.15"/>
    <row r="474" s="1" customFormat="1" ht="15.75" customHeight="1" x14ac:dyDescent="0.15"/>
    <row r="475" s="1" customFormat="1" ht="15.75" customHeight="1" x14ac:dyDescent="0.15"/>
    <row r="476" s="1" customFormat="1" ht="15.75" customHeight="1" x14ac:dyDescent="0.15"/>
    <row r="477" s="1" customFormat="1" ht="15.75" customHeight="1" x14ac:dyDescent="0.15"/>
    <row r="478" s="1" customFormat="1" ht="15.75" customHeight="1" x14ac:dyDescent="0.15"/>
    <row r="479" s="1" customFormat="1" ht="15.75" customHeight="1" x14ac:dyDescent="0.15"/>
    <row r="480" s="1" customFormat="1" ht="15.75" customHeight="1" x14ac:dyDescent="0.15"/>
    <row r="481" s="1" customFormat="1" ht="15.75" customHeight="1" x14ac:dyDescent="0.15"/>
    <row r="482" s="1" customFormat="1" ht="15.75" customHeight="1" x14ac:dyDescent="0.15"/>
    <row r="483" s="1" customFormat="1" ht="15.75" customHeight="1" x14ac:dyDescent="0.15"/>
    <row r="484" s="1" customFormat="1" ht="15.75" customHeight="1" x14ac:dyDescent="0.15"/>
    <row r="485" s="1" customFormat="1" ht="15.75" customHeight="1" x14ac:dyDescent="0.15"/>
    <row r="486" s="1" customFormat="1" ht="15.75" customHeight="1" x14ac:dyDescent="0.15"/>
    <row r="487" s="1" customFormat="1" ht="15.75" customHeight="1" x14ac:dyDescent="0.15"/>
    <row r="488" s="1" customFormat="1" ht="15.75" customHeight="1" x14ac:dyDescent="0.15"/>
    <row r="489" s="1" customFormat="1" ht="15.75" customHeight="1" x14ac:dyDescent="0.15"/>
    <row r="490" s="1" customFormat="1" ht="15.75" customHeight="1" x14ac:dyDescent="0.15"/>
    <row r="491" s="1" customFormat="1" ht="15.75" customHeight="1" x14ac:dyDescent="0.15"/>
    <row r="492" s="1" customFormat="1" ht="15.75" customHeight="1" x14ac:dyDescent="0.15"/>
    <row r="493" s="1" customFormat="1" ht="15.75" customHeight="1" x14ac:dyDescent="0.15"/>
    <row r="494" s="1" customFormat="1" ht="15.75" customHeight="1" x14ac:dyDescent="0.15"/>
    <row r="495" s="1" customFormat="1" ht="15.75" customHeight="1" x14ac:dyDescent="0.15"/>
    <row r="496" s="1" customFormat="1" ht="15.75" customHeight="1" x14ac:dyDescent="0.15"/>
    <row r="497" s="1" customFormat="1" ht="15.75" customHeight="1" x14ac:dyDescent="0.15"/>
    <row r="498" s="1" customFormat="1" ht="15.75" customHeight="1" x14ac:dyDescent="0.15"/>
    <row r="499" s="1" customFormat="1" ht="15.75" customHeight="1" x14ac:dyDescent="0.15"/>
    <row r="500" s="1" customFormat="1" ht="15.75" customHeight="1" x14ac:dyDescent="0.15"/>
    <row r="501" s="1" customFormat="1" ht="15.75" customHeight="1" x14ac:dyDescent="0.15"/>
    <row r="502" s="1" customFormat="1" ht="15.75" customHeight="1" x14ac:dyDescent="0.15"/>
    <row r="503" s="1" customFormat="1" ht="15.75" customHeight="1" x14ac:dyDescent="0.15"/>
    <row r="504" s="1" customFormat="1" ht="15.75" customHeight="1" x14ac:dyDescent="0.15"/>
    <row r="505" s="1" customFormat="1" ht="15.75" customHeight="1" x14ac:dyDescent="0.15"/>
    <row r="506" s="1" customFormat="1" ht="15.75" customHeight="1" x14ac:dyDescent="0.15"/>
    <row r="507" s="1" customFormat="1" ht="15.75" customHeight="1" x14ac:dyDescent="0.15"/>
    <row r="508" s="1" customFormat="1" ht="15.75" customHeight="1" x14ac:dyDescent="0.15"/>
    <row r="509" s="1" customFormat="1" ht="15.75" customHeight="1" x14ac:dyDescent="0.15"/>
    <row r="510" s="1" customFormat="1" ht="15.75" customHeight="1" x14ac:dyDescent="0.15"/>
    <row r="511" s="1" customFormat="1" ht="15.75" customHeight="1" x14ac:dyDescent="0.15"/>
    <row r="512" s="1" customFormat="1" ht="15.75" customHeight="1" x14ac:dyDescent="0.15"/>
    <row r="513" s="1" customFormat="1" ht="15.75" customHeight="1" x14ac:dyDescent="0.15"/>
    <row r="514" s="1" customFormat="1" ht="15.75" customHeight="1" x14ac:dyDescent="0.15"/>
    <row r="515" s="1" customFormat="1" ht="15.75" customHeight="1" x14ac:dyDescent="0.15"/>
    <row r="516" s="1" customFormat="1" ht="15.75" customHeight="1" x14ac:dyDescent="0.15"/>
    <row r="517" s="1" customFormat="1" ht="15.75" customHeight="1" x14ac:dyDescent="0.15"/>
    <row r="518" s="1" customFormat="1" ht="15.75" customHeight="1" x14ac:dyDescent="0.15"/>
    <row r="519" s="1" customFormat="1" ht="15.75" customHeight="1" x14ac:dyDescent="0.15"/>
    <row r="520" s="1" customFormat="1" ht="15.75" customHeight="1" x14ac:dyDescent="0.15"/>
    <row r="521" s="1" customFormat="1" ht="15.75" customHeight="1" x14ac:dyDescent="0.15"/>
    <row r="522" s="1" customFormat="1" ht="15.75" customHeight="1" x14ac:dyDescent="0.15"/>
    <row r="523" s="1" customFormat="1" ht="15.75" customHeight="1" x14ac:dyDescent="0.15"/>
    <row r="524" s="1" customFormat="1" ht="15.75" customHeight="1" x14ac:dyDescent="0.15"/>
    <row r="525" s="1" customFormat="1" ht="15.75" customHeight="1" x14ac:dyDescent="0.15"/>
    <row r="526" s="1" customFormat="1" ht="15.75" customHeight="1" x14ac:dyDescent="0.15"/>
    <row r="527" s="1" customFormat="1" ht="15.75" customHeight="1" x14ac:dyDescent="0.15"/>
    <row r="528" s="1" customFormat="1" ht="15.75" customHeight="1" x14ac:dyDescent="0.15"/>
    <row r="529" s="1" customFormat="1" ht="15.75" customHeight="1" x14ac:dyDescent="0.15"/>
    <row r="530" s="1" customFormat="1" ht="15.75" customHeight="1" x14ac:dyDescent="0.15"/>
    <row r="531" s="1" customFormat="1" ht="15.75" customHeight="1" x14ac:dyDescent="0.15"/>
    <row r="532" s="1" customFormat="1" ht="15.75" customHeight="1" x14ac:dyDescent="0.15"/>
    <row r="533" s="1" customFormat="1" ht="15.75" customHeight="1" x14ac:dyDescent="0.15"/>
    <row r="534" s="1" customFormat="1" ht="15.75" customHeight="1" x14ac:dyDescent="0.15"/>
    <row r="535" s="1" customFormat="1" ht="15.75" customHeight="1" x14ac:dyDescent="0.15"/>
    <row r="536" s="1" customFormat="1" ht="15.75" customHeight="1" x14ac:dyDescent="0.15"/>
    <row r="537" s="1" customFormat="1" ht="15.75" customHeight="1" x14ac:dyDescent="0.15"/>
    <row r="538" s="1" customFormat="1" ht="15.75" customHeight="1" x14ac:dyDescent="0.15"/>
    <row r="539" s="1" customFormat="1" ht="15.75" customHeight="1" x14ac:dyDescent="0.15"/>
    <row r="540" s="1" customFormat="1" ht="15.75" customHeight="1" x14ac:dyDescent="0.15"/>
    <row r="541" s="1" customFormat="1" ht="15.75" customHeight="1" x14ac:dyDescent="0.15"/>
    <row r="542" s="1" customFormat="1" ht="15.75" customHeight="1" x14ac:dyDescent="0.15"/>
    <row r="543" s="1" customFormat="1" ht="15.75" customHeight="1" x14ac:dyDescent="0.15"/>
    <row r="544" s="1" customFormat="1" ht="15.75" customHeight="1" x14ac:dyDescent="0.15"/>
    <row r="545" s="1" customFormat="1" ht="15.75" customHeight="1" x14ac:dyDescent="0.15"/>
    <row r="546" s="1" customFormat="1" ht="15.75" customHeight="1" x14ac:dyDescent="0.15"/>
    <row r="547" s="1" customFormat="1" ht="15.75" customHeight="1" x14ac:dyDescent="0.15"/>
    <row r="548" s="1" customFormat="1" ht="15.75" customHeight="1" x14ac:dyDescent="0.15"/>
    <row r="549" s="1" customFormat="1" ht="15.75" customHeight="1" x14ac:dyDescent="0.15"/>
    <row r="550" s="1" customFormat="1" ht="15.75" customHeight="1" x14ac:dyDescent="0.15"/>
    <row r="551" s="1" customFormat="1" ht="15.75" customHeight="1" x14ac:dyDescent="0.15"/>
    <row r="552" s="1" customFormat="1" ht="15.75" customHeight="1" x14ac:dyDescent="0.15"/>
    <row r="553" s="1" customFormat="1" ht="15.75" customHeight="1" x14ac:dyDescent="0.15"/>
    <row r="554" s="1" customFormat="1" ht="15.75" customHeight="1" x14ac:dyDescent="0.15"/>
    <row r="555" s="1" customFormat="1" ht="15.75" customHeight="1" x14ac:dyDescent="0.15"/>
    <row r="556" s="1" customFormat="1" ht="15.75" customHeight="1" x14ac:dyDescent="0.15"/>
    <row r="557" s="1" customFormat="1" ht="15.75" customHeight="1" x14ac:dyDescent="0.15"/>
    <row r="558" s="1" customFormat="1" ht="15.75" customHeight="1" x14ac:dyDescent="0.15"/>
    <row r="559" s="1" customFormat="1" ht="15.75" customHeight="1" x14ac:dyDescent="0.15"/>
    <row r="560" s="1" customFormat="1" ht="15.75" customHeight="1" x14ac:dyDescent="0.15"/>
    <row r="561" s="1" customFormat="1" ht="15.75" customHeight="1" x14ac:dyDescent="0.15"/>
    <row r="562" s="1" customFormat="1" ht="15.75" customHeight="1" x14ac:dyDescent="0.15"/>
    <row r="563" s="1" customFormat="1" ht="15.75" customHeight="1" x14ac:dyDescent="0.15"/>
    <row r="564" s="1" customFormat="1" ht="15.75" customHeight="1" x14ac:dyDescent="0.15"/>
    <row r="565" s="1" customFormat="1" ht="15.75" customHeight="1" x14ac:dyDescent="0.15"/>
    <row r="566" s="1" customFormat="1" ht="15.75" customHeight="1" x14ac:dyDescent="0.15"/>
    <row r="567" s="1" customFormat="1" ht="15.75" customHeight="1" x14ac:dyDescent="0.15"/>
    <row r="568" s="1" customFormat="1" ht="15.75" customHeight="1" x14ac:dyDescent="0.15"/>
    <row r="569" s="1" customFormat="1" ht="15.75" customHeight="1" x14ac:dyDescent="0.15"/>
    <row r="570" s="1" customFormat="1" ht="15.75" customHeight="1" x14ac:dyDescent="0.15"/>
    <row r="571" s="1" customFormat="1" ht="15.75" customHeight="1" x14ac:dyDescent="0.15"/>
    <row r="572" s="1" customFormat="1" ht="15.75" customHeight="1" x14ac:dyDescent="0.15"/>
    <row r="573" s="1" customFormat="1" ht="15.75" customHeight="1" x14ac:dyDescent="0.15"/>
    <row r="574" s="1" customFormat="1" ht="15.75" customHeight="1" x14ac:dyDescent="0.15"/>
    <row r="575" s="1" customFormat="1" ht="15.75" customHeight="1" x14ac:dyDescent="0.15"/>
    <row r="576" s="1" customFormat="1" ht="15.75" customHeight="1" x14ac:dyDescent="0.15"/>
    <row r="577" s="1" customFormat="1" ht="15.75" customHeight="1" x14ac:dyDescent="0.15"/>
    <row r="578" s="1" customFormat="1" ht="15.75" customHeight="1" x14ac:dyDescent="0.15"/>
    <row r="579" s="1" customFormat="1" ht="15.75" customHeight="1" x14ac:dyDescent="0.15"/>
    <row r="580" s="1" customFormat="1" ht="15.75" customHeight="1" x14ac:dyDescent="0.15"/>
    <row r="581" s="1" customFormat="1" ht="15.75" customHeight="1" x14ac:dyDescent="0.15"/>
    <row r="582" s="1" customFormat="1" ht="15.75" customHeight="1" x14ac:dyDescent="0.15"/>
    <row r="583" s="1" customFormat="1" ht="15.75" customHeight="1" x14ac:dyDescent="0.15"/>
    <row r="584" s="1" customFormat="1" ht="15.75" customHeight="1" x14ac:dyDescent="0.15"/>
    <row r="585" s="1" customFormat="1" ht="15.75" customHeight="1" x14ac:dyDescent="0.15"/>
    <row r="586" s="1" customFormat="1" ht="15.75" customHeight="1" x14ac:dyDescent="0.15"/>
    <row r="587" s="1" customFormat="1" ht="15.75" customHeight="1" x14ac:dyDescent="0.15"/>
    <row r="588" s="1" customFormat="1" ht="15.75" customHeight="1" x14ac:dyDescent="0.15"/>
    <row r="589" s="1" customFormat="1" ht="15.75" customHeight="1" x14ac:dyDescent="0.15"/>
    <row r="590" s="1" customFormat="1" ht="15.75" customHeight="1" x14ac:dyDescent="0.15"/>
    <row r="591" s="1" customFormat="1" ht="15.75" customHeight="1" x14ac:dyDescent="0.15"/>
    <row r="592" s="1" customFormat="1" ht="15.75" customHeight="1" x14ac:dyDescent="0.15"/>
    <row r="593" s="1" customFormat="1" ht="15.75" customHeight="1" x14ac:dyDescent="0.15"/>
    <row r="594" s="1" customFormat="1" ht="15.75" customHeight="1" x14ac:dyDescent="0.15"/>
    <row r="595" s="1" customFormat="1" ht="15.75" customHeight="1" x14ac:dyDescent="0.15"/>
    <row r="596" s="1" customFormat="1" ht="15.75" customHeight="1" x14ac:dyDescent="0.15"/>
    <row r="597" s="1" customFormat="1" ht="15.75" customHeight="1" x14ac:dyDescent="0.15"/>
    <row r="598" s="1" customFormat="1" ht="15.75" customHeight="1" x14ac:dyDescent="0.15"/>
    <row r="599" s="1" customFormat="1" ht="15.75" customHeight="1" x14ac:dyDescent="0.15"/>
    <row r="600" s="1" customFormat="1" ht="15.75" customHeight="1" x14ac:dyDescent="0.15"/>
    <row r="601" s="1" customFormat="1" ht="15.75" customHeight="1" x14ac:dyDescent="0.15"/>
    <row r="602" s="1" customFormat="1" ht="15.75" customHeight="1" x14ac:dyDescent="0.15"/>
    <row r="603" s="1" customFormat="1" ht="15.75" customHeight="1" x14ac:dyDescent="0.15"/>
    <row r="604" s="1" customFormat="1" ht="15.75" customHeight="1" x14ac:dyDescent="0.15"/>
    <row r="605" s="1" customFormat="1" ht="15.75" customHeight="1" x14ac:dyDescent="0.15"/>
    <row r="606" s="1" customFormat="1" ht="15.75" customHeight="1" x14ac:dyDescent="0.15"/>
    <row r="607" s="1" customFormat="1" ht="15.75" customHeight="1" x14ac:dyDescent="0.15"/>
    <row r="608" s="1" customFormat="1" ht="15.75" customHeight="1" x14ac:dyDescent="0.15"/>
    <row r="609" s="1" customFormat="1" ht="15.75" customHeight="1" x14ac:dyDescent="0.15"/>
    <row r="610" s="1" customFormat="1" ht="15.75" customHeight="1" x14ac:dyDescent="0.15"/>
    <row r="611" s="1" customFormat="1" ht="15.75" customHeight="1" x14ac:dyDescent="0.15"/>
    <row r="612" s="1" customFormat="1" ht="15.75" customHeight="1" x14ac:dyDescent="0.15"/>
    <row r="613" s="1" customFormat="1" ht="15.75" customHeight="1" x14ac:dyDescent="0.15"/>
    <row r="614" s="1" customFormat="1" ht="15.75" customHeight="1" x14ac:dyDescent="0.15"/>
    <row r="615" s="1" customFormat="1" ht="15.75" customHeight="1" x14ac:dyDescent="0.15"/>
    <row r="616" s="1" customFormat="1" ht="15.75" customHeight="1" x14ac:dyDescent="0.15"/>
    <row r="617" s="1" customFormat="1" ht="15.75" customHeight="1" x14ac:dyDescent="0.15"/>
    <row r="618" s="1" customFormat="1" ht="15.75" customHeight="1" x14ac:dyDescent="0.15"/>
    <row r="619" s="1" customFormat="1" ht="15.75" customHeight="1" x14ac:dyDescent="0.15"/>
    <row r="620" s="1" customFormat="1" ht="15.75" customHeight="1" x14ac:dyDescent="0.15"/>
    <row r="621" s="1" customFormat="1" ht="15.75" customHeight="1" x14ac:dyDescent="0.15"/>
    <row r="622" s="1" customFormat="1" ht="15.75" customHeight="1" x14ac:dyDescent="0.15"/>
    <row r="623" s="1" customFormat="1" ht="15.75" customHeight="1" x14ac:dyDescent="0.15"/>
    <row r="624" s="1" customFormat="1" ht="15.75" customHeight="1" x14ac:dyDescent="0.15"/>
    <row r="625" s="1" customFormat="1" ht="15.75" customHeight="1" x14ac:dyDescent="0.15"/>
    <row r="626" s="1" customFormat="1" ht="15.75" customHeight="1" x14ac:dyDescent="0.15"/>
    <row r="627" s="1" customFormat="1" ht="15.75" customHeight="1" x14ac:dyDescent="0.15"/>
    <row r="628" s="1" customFormat="1" ht="15.75" customHeight="1" x14ac:dyDescent="0.15"/>
    <row r="629" s="1" customFormat="1" ht="15.75" customHeight="1" x14ac:dyDescent="0.15"/>
    <row r="630" s="1" customFormat="1" ht="15.75" customHeight="1" x14ac:dyDescent="0.15"/>
    <row r="631" s="1" customFormat="1" ht="15.75" customHeight="1" x14ac:dyDescent="0.15"/>
    <row r="632" s="1" customFormat="1" ht="15.75" customHeight="1" x14ac:dyDescent="0.15"/>
    <row r="633" s="1" customFormat="1" ht="15.75" customHeight="1" x14ac:dyDescent="0.15"/>
    <row r="634" s="1" customFormat="1" ht="15.75" customHeight="1" x14ac:dyDescent="0.15"/>
    <row r="635" s="1" customFormat="1" ht="15.75" customHeight="1" x14ac:dyDescent="0.15"/>
    <row r="636" s="1" customFormat="1" ht="15.75" customHeight="1" x14ac:dyDescent="0.15"/>
    <row r="637" s="1" customFormat="1" ht="15.75" customHeight="1" x14ac:dyDescent="0.15"/>
    <row r="638" s="1" customFormat="1" ht="15.75" customHeight="1" x14ac:dyDescent="0.15"/>
    <row r="639" s="1" customFormat="1" ht="15.75" customHeight="1" x14ac:dyDescent="0.15"/>
    <row r="640" s="1" customFormat="1" ht="15.75" customHeight="1" x14ac:dyDescent="0.15"/>
    <row r="641" s="1" customFormat="1" ht="15.75" customHeight="1" x14ac:dyDescent="0.15"/>
    <row r="642" s="1" customFormat="1" ht="15.75" customHeight="1" x14ac:dyDescent="0.15"/>
    <row r="643" s="1" customFormat="1" ht="15.75" customHeight="1" x14ac:dyDescent="0.15"/>
    <row r="644" s="1" customFormat="1" ht="15.75" customHeight="1" x14ac:dyDescent="0.15"/>
    <row r="645" s="1" customFormat="1" ht="15.75" customHeight="1" x14ac:dyDescent="0.15"/>
    <row r="646" s="1" customFormat="1" ht="15.75" customHeight="1" x14ac:dyDescent="0.15"/>
    <row r="647" s="1" customFormat="1" ht="15.75" customHeight="1" x14ac:dyDescent="0.15"/>
    <row r="648" s="1" customFormat="1" ht="15.75" customHeight="1" x14ac:dyDescent="0.15"/>
    <row r="649" s="1" customFormat="1" ht="15.75" customHeight="1" x14ac:dyDescent="0.15"/>
    <row r="650" s="1" customFormat="1" ht="15.75" customHeight="1" x14ac:dyDescent="0.15"/>
    <row r="651" s="1" customFormat="1" ht="15.75" customHeight="1" x14ac:dyDescent="0.15"/>
    <row r="652" s="1" customFormat="1" ht="15.75" customHeight="1" x14ac:dyDescent="0.15"/>
    <row r="653" s="1" customFormat="1" ht="15.75" customHeight="1" x14ac:dyDescent="0.15"/>
    <row r="654" s="1" customFormat="1" ht="15.75" customHeight="1" x14ac:dyDescent="0.15"/>
    <row r="655" s="1" customFormat="1" ht="15.75" customHeight="1" x14ac:dyDescent="0.15"/>
    <row r="656" s="1" customFormat="1" ht="15.75" customHeight="1" x14ac:dyDescent="0.15"/>
    <row r="657" s="1" customFormat="1" ht="15.75" customHeight="1" x14ac:dyDescent="0.15"/>
    <row r="658" s="1" customFormat="1" ht="15.75" customHeight="1" x14ac:dyDescent="0.15"/>
    <row r="659" s="1" customFormat="1" ht="15.75" customHeight="1" x14ac:dyDescent="0.15"/>
    <row r="660" s="1" customFormat="1" ht="15.75" customHeight="1" x14ac:dyDescent="0.15"/>
    <row r="661" s="1" customFormat="1" ht="15.75" customHeight="1" x14ac:dyDescent="0.15"/>
    <row r="662" s="1" customFormat="1" ht="15.75" customHeight="1" x14ac:dyDescent="0.15"/>
    <row r="663" s="1" customFormat="1" ht="15.75" customHeight="1" x14ac:dyDescent="0.15"/>
    <row r="664" s="1" customFormat="1" ht="15.75" customHeight="1" x14ac:dyDescent="0.15"/>
    <row r="665" s="1" customFormat="1" ht="15.75" customHeight="1" x14ac:dyDescent="0.15"/>
    <row r="666" s="1" customFormat="1" ht="15.75" customHeight="1" x14ac:dyDescent="0.15"/>
    <row r="667" s="1" customFormat="1" ht="15.75" customHeight="1" x14ac:dyDescent="0.15"/>
    <row r="668" s="1" customFormat="1" ht="15.75" customHeight="1" x14ac:dyDescent="0.15"/>
    <row r="669" s="1" customFormat="1" ht="15.75" customHeight="1" x14ac:dyDescent="0.15"/>
    <row r="670" s="1" customFormat="1" ht="15.75" customHeight="1" x14ac:dyDescent="0.15"/>
    <row r="671" s="1" customFormat="1" ht="15.75" customHeight="1" x14ac:dyDescent="0.15"/>
    <row r="672" s="1" customFormat="1" ht="15.75" customHeight="1" x14ac:dyDescent="0.15"/>
    <row r="673" s="1" customFormat="1" ht="15.75" customHeight="1" x14ac:dyDescent="0.15"/>
    <row r="674" s="1" customFormat="1" ht="15.75" customHeight="1" x14ac:dyDescent="0.15"/>
    <row r="675" s="1" customFormat="1" ht="15.75" customHeight="1" x14ac:dyDescent="0.15"/>
    <row r="676" s="1" customFormat="1" ht="15.75" customHeight="1" x14ac:dyDescent="0.15"/>
    <row r="677" s="1" customFormat="1" ht="15.75" customHeight="1" x14ac:dyDescent="0.15"/>
    <row r="678" s="1" customFormat="1" ht="15.75" customHeight="1" x14ac:dyDescent="0.15"/>
    <row r="679" s="1" customFormat="1" ht="15.75" customHeight="1" x14ac:dyDescent="0.15"/>
    <row r="680" s="1" customFormat="1" ht="15.75" customHeight="1" x14ac:dyDescent="0.15"/>
    <row r="681" s="1" customFormat="1" ht="15.75" customHeight="1" x14ac:dyDescent="0.15"/>
    <row r="682" s="1" customFormat="1" ht="15.75" customHeight="1" x14ac:dyDescent="0.15"/>
    <row r="683" s="1" customFormat="1" ht="15.75" customHeight="1" x14ac:dyDescent="0.15"/>
    <row r="684" s="1" customFormat="1" ht="15.75" customHeight="1" x14ac:dyDescent="0.15"/>
    <row r="685" s="1" customFormat="1" ht="15.75" customHeight="1" x14ac:dyDescent="0.15"/>
    <row r="686" s="1" customFormat="1" ht="15.75" customHeight="1" x14ac:dyDescent="0.15"/>
    <row r="687" s="1" customFormat="1" ht="15.75" customHeight="1" x14ac:dyDescent="0.15"/>
    <row r="688" s="1" customFormat="1" ht="15.75" customHeight="1" x14ac:dyDescent="0.15"/>
    <row r="689" s="1" customFormat="1" ht="15.75" customHeight="1" x14ac:dyDescent="0.15"/>
    <row r="690" s="1" customFormat="1" ht="15.75" customHeight="1" x14ac:dyDescent="0.15"/>
    <row r="691" s="1" customFormat="1" ht="15.75" customHeight="1" x14ac:dyDescent="0.15"/>
    <row r="692" s="1" customFormat="1" ht="15.75" customHeight="1" x14ac:dyDescent="0.15"/>
    <row r="693" s="1" customFormat="1" ht="15.75" customHeight="1" x14ac:dyDescent="0.15"/>
    <row r="694" s="1" customFormat="1" ht="15.75" customHeight="1" x14ac:dyDescent="0.15"/>
    <row r="695" s="1" customFormat="1" ht="15.75" customHeight="1" x14ac:dyDescent="0.15"/>
    <row r="696" s="1" customFormat="1" ht="15.75" customHeight="1" x14ac:dyDescent="0.15"/>
    <row r="697" s="1" customFormat="1" ht="15.75" customHeight="1" x14ac:dyDescent="0.15"/>
    <row r="698" s="1" customFormat="1" ht="15.75" customHeight="1" x14ac:dyDescent="0.15"/>
    <row r="699" s="1" customFormat="1" ht="15.75" customHeight="1" x14ac:dyDescent="0.15"/>
    <row r="700" s="1" customFormat="1" ht="15.75" customHeight="1" x14ac:dyDescent="0.15"/>
    <row r="701" s="1" customFormat="1" ht="15.75" customHeight="1" x14ac:dyDescent="0.15"/>
    <row r="702" s="1" customFormat="1" ht="15.75" customHeight="1" x14ac:dyDescent="0.15"/>
    <row r="703" s="1" customFormat="1" ht="15.75" customHeight="1" x14ac:dyDescent="0.15"/>
    <row r="704" s="1" customFormat="1" ht="15.75" customHeight="1" x14ac:dyDescent="0.15"/>
    <row r="705" s="1" customFormat="1" ht="15.75" customHeight="1" x14ac:dyDescent="0.15"/>
    <row r="706" s="1" customFormat="1" ht="15.75" customHeight="1" x14ac:dyDescent="0.15"/>
    <row r="707" s="1" customFormat="1" ht="15.75" customHeight="1" x14ac:dyDescent="0.15"/>
    <row r="708" s="1" customFormat="1" ht="15.75" customHeight="1" x14ac:dyDescent="0.15"/>
    <row r="709" s="1" customFormat="1" ht="15.75" customHeight="1" x14ac:dyDescent="0.15"/>
    <row r="710" s="1" customFormat="1" ht="15.75" customHeight="1" x14ac:dyDescent="0.15"/>
    <row r="711" s="1" customFormat="1" ht="15.75" customHeight="1" x14ac:dyDescent="0.15"/>
    <row r="712" s="1" customFormat="1" ht="15.75" customHeight="1" x14ac:dyDescent="0.15"/>
    <row r="713" s="1" customFormat="1" ht="15.75" customHeight="1" x14ac:dyDescent="0.15"/>
    <row r="714" s="1" customFormat="1" ht="15.75" customHeight="1" x14ac:dyDescent="0.15"/>
    <row r="715" s="1" customFormat="1" ht="15.75" customHeight="1" x14ac:dyDescent="0.15"/>
    <row r="716" s="1" customFormat="1" ht="15.75" customHeight="1" x14ac:dyDescent="0.15"/>
    <row r="717" s="1" customFormat="1" ht="15.75" customHeight="1" x14ac:dyDescent="0.15"/>
    <row r="718" s="1" customFormat="1" ht="15.75" customHeight="1" x14ac:dyDescent="0.15"/>
    <row r="719" s="1" customFormat="1" ht="15.75" customHeight="1" x14ac:dyDescent="0.15"/>
    <row r="720" s="1" customFormat="1" ht="15.75" customHeight="1" x14ac:dyDescent="0.15"/>
    <row r="721" s="1" customFormat="1" ht="15.75" customHeight="1" x14ac:dyDescent="0.15"/>
    <row r="722" s="1" customFormat="1" ht="15.75" customHeight="1" x14ac:dyDescent="0.15"/>
    <row r="723" s="1" customFormat="1" ht="15.75" customHeight="1" x14ac:dyDescent="0.15"/>
    <row r="724" s="1" customFormat="1" ht="15.75" customHeight="1" x14ac:dyDescent="0.15"/>
    <row r="725" s="1" customFormat="1" ht="15.75" customHeight="1" x14ac:dyDescent="0.15"/>
    <row r="726" s="1" customFormat="1" ht="15.75" customHeight="1" x14ac:dyDescent="0.15"/>
    <row r="727" s="1" customFormat="1" ht="15.75" customHeight="1" x14ac:dyDescent="0.15"/>
    <row r="728" s="1" customFormat="1" ht="15.75" customHeight="1" x14ac:dyDescent="0.15"/>
    <row r="729" s="1" customFormat="1" ht="15.75" customHeight="1" x14ac:dyDescent="0.15"/>
    <row r="730" s="1" customFormat="1" ht="15.75" customHeight="1" x14ac:dyDescent="0.15"/>
    <row r="731" s="1" customFormat="1" ht="15.75" customHeight="1" x14ac:dyDescent="0.15"/>
    <row r="732" s="1" customFormat="1" ht="15.75" customHeight="1" x14ac:dyDescent="0.15"/>
    <row r="733" s="1" customFormat="1" ht="15.75" customHeight="1" x14ac:dyDescent="0.15"/>
    <row r="734" s="1" customFormat="1" ht="15.75" customHeight="1" x14ac:dyDescent="0.15"/>
    <row r="735" s="1" customFormat="1" ht="15.75" customHeight="1" x14ac:dyDescent="0.15"/>
    <row r="736" s="1" customFormat="1" ht="15.75" customHeight="1" x14ac:dyDescent="0.15"/>
    <row r="737" s="1" customFormat="1" ht="15.75" customHeight="1" x14ac:dyDescent="0.15"/>
    <row r="738" s="1" customFormat="1" ht="15.75" customHeight="1" x14ac:dyDescent="0.15"/>
    <row r="739" s="1" customFormat="1" ht="15.75" customHeight="1" x14ac:dyDescent="0.15"/>
    <row r="740" s="1" customFormat="1" ht="15.75" customHeight="1" x14ac:dyDescent="0.15"/>
    <row r="741" s="1" customFormat="1" ht="15.75" customHeight="1" x14ac:dyDescent="0.15"/>
    <row r="742" s="1" customFormat="1" ht="15.75" customHeight="1" x14ac:dyDescent="0.15"/>
    <row r="743" s="1" customFormat="1" ht="15.75" customHeight="1" x14ac:dyDescent="0.15"/>
    <row r="744" s="1" customFormat="1" ht="15.75" customHeight="1" x14ac:dyDescent="0.15"/>
    <row r="745" s="1" customFormat="1" ht="15.75" customHeight="1" x14ac:dyDescent="0.15"/>
    <row r="746" s="1" customFormat="1" ht="15.75" customHeight="1" x14ac:dyDescent="0.15"/>
    <row r="747" s="1" customFormat="1" ht="15.75" customHeight="1" x14ac:dyDescent="0.15"/>
    <row r="748" s="1" customFormat="1" ht="15.75" customHeight="1" x14ac:dyDescent="0.15"/>
    <row r="749" s="1" customFormat="1" ht="15.75" customHeight="1" x14ac:dyDescent="0.15"/>
    <row r="750" s="1" customFormat="1" ht="15.75" customHeight="1" x14ac:dyDescent="0.15"/>
    <row r="751" s="1" customFormat="1" ht="15.75" customHeight="1" x14ac:dyDescent="0.15"/>
    <row r="752" s="1" customFormat="1" ht="15.75" customHeight="1" x14ac:dyDescent="0.15"/>
    <row r="753" s="1" customFormat="1" ht="15.75" customHeight="1" x14ac:dyDescent="0.15"/>
    <row r="754" s="1" customFormat="1" ht="15.75" customHeight="1" x14ac:dyDescent="0.15"/>
    <row r="755" s="1" customFormat="1" ht="15.75" customHeight="1" x14ac:dyDescent="0.15"/>
    <row r="756" s="1" customFormat="1" ht="15.75" customHeight="1" x14ac:dyDescent="0.15"/>
    <row r="757" s="1" customFormat="1" ht="15.75" customHeight="1" x14ac:dyDescent="0.15"/>
    <row r="758" s="1" customFormat="1" ht="15.75" customHeight="1" x14ac:dyDescent="0.15"/>
    <row r="759" s="1" customFormat="1" ht="15.75" customHeight="1" x14ac:dyDescent="0.15"/>
    <row r="760" s="1" customFormat="1" ht="15.75" customHeight="1" x14ac:dyDescent="0.15"/>
    <row r="761" s="1" customFormat="1" ht="15.75" customHeight="1" x14ac:dyDescent="0.15"/>
    <row r="762" s="1" customFormat="1" ht="15.75" customHeight="1" x14ac:dyDescent="0.15"/>
    <row r="763" s="1" customFormat="1" ht="15.75" customHeight="1" x14ac:dyDescent="0.15"/>
    <row r="764" s="1" customFormat="1" ht="15.75" customHeight="1" x14ac:dyDescent="0.15"/>
    <row r="765" s="1" customFormat="1" ht="15.75" customHeight="1" x14ac:dyDescent="0.15"/>
    <row r="766" s="1" customFormat="1" ht="15.75" customHeight="1" x14ac:dyDescent="0.15"/>
    <row r="767" s="1" customFormat="1" ht="15.75" customHeight="1" x14ac:dyDescent="0.15"/>
    <row r="768" s="1" customFormat="1" ht="15.75" customHeight="1" x14ac:dyDescent="0.15"/>
    <row r="769" s="1" customFormat="1" ht="15.75" customHeight="1" x14ac:dyDescent="0.15"/>
    <row r="770" s="1" customFormat="1" ht="15.75" customHeight="1" x14ac:dyDescent="0.15"/>
    <row r="771" s="1" customFormat="1" ht="15.75" customHeight="1" x14ac:dyDescent="0.15"/>
    <row r="772" s="1" customFormat="1" ht="15.75" customHeight="1" x14ac:dyDescent="0.15"/>
    <row r="773" s="1" customFormat="1" ht="15.75" customHeight="1" x14ac:dyDescent="0.15"/>
    <row r="774" s="1" customFormat="1" ht="15.75" customHeight="1" x14ac:dyDescent="0.15"/>
    <row r="775" s="1" customFormat="1" ht="15.75" customHeight="1" x14ac:dyDescent="0.15"/>
    <row r="776" s="1" customFormat="1" ht="15.75" customHeight="1" x14ac:dyDescent="0.15"/>
    <row r="777" s="1" customFormat="1" ht="15.75" customHeight="1" x14ac:dyDescent="0.15"/>
    <row r="778" s="1" customFormat="1" ht="15.75" customHeight="1" x14ac:dyDescent="0.15"/>
    <row r="779" s="1" customFormat="1" ht="15.75" customHeight="1" x14ac:dyDescent="0.15"/>
    <row r="780" s="1" customFormat="1" ht="15.75" customHeight="1" x14ac:dyDescent="0.15"/>
    <row r="781" s="1" customFormat="1" ht="15.75" customHeight="1" x14ac:dyDescent="0.15"/>
    <row r="782" s="1" customFormat="1" ht="15.75" customHeight="1" x14ac:dyDescent="0.15"/>
    <row r="783" s="1" customFormat="1" ht="15.75" customHeight="1" x14ac:dyDescent="0.15"/>
    <row r="784" s="1" customFormat="1" ht="15.75" customHeight="1" x14ac:dyDescent="0.15"/>
    <row r="785" s="1" customFormat="1" ht="15.75" customHeight="1" x14ac:dyDescent="0.15"/>
    <row r="786" s="1" customFormat="1" ht="15.75" customHeight="1" x14ac:dyDescent="0.15"/>
    <row r="787" s="1" customFormat="1" ht="15.75" customHeight="1" x14ac:dyDescent="0.15"/>
    <row r="788" s="1" customFormat="1" ht="15.75" customHeight="1" x14ac:dyDescent="0.15"/>
    <row r="789" s="1" customFormat="1" ht="15.75" customHeight="1" x14ac:dyDescent="0.15"/>
    <row r="790" s="1" customFormat="1" ht="15.75" customHeight="1" x14ac:dyDescent="0.15"/>
    <row r="791" s="1" customFormat="1" ht="15.75" customHeight="1" x14ac:dyDescent="0.15"/>
    <row r="792" s="1" customFormat="1" ht="15.75" customHeight="1" x14ac:dyDescent="0.15"/>
    <row r="793" s="1" customFormat="1" ht="15.75" customHeight="1" x14ac:dyDescent="0.15"/>
    <row r="794" s="1" customFormat="1" ht="15.75" customHeight="1" x14ac:dyDescent="0.15"/>
    <row r="795" s="1" customFormat="1" ht="15.75" customHeight="1" x14ac:dyDescent="0.15"/>
    <row r="796" s="1" customFormat="1" ht="15.75" customHeight="1" x14ac:dyDescent="0.15"/>
    <row r="797" s="1" customFormat="1" ht="15.75" customHeight="1" x14ac:dyDescent="0.15"/>
    <row r="798" s="1" customFormat="1" ht="15.75" customHeight="1" x14ac:dyDescent="0.15"/>
    <row r="799" s="1" customFormat="1" ht="15.75" customHeight="1" x14ac:dyDescent="0.15"/>
    <row r="800" s="1" customFormat="1" ht="15.75" customHeight="1" x14ac:dyDescent="0.15"/>
    <row r="801" s="1" customFormat="1" ht="15.75" customHeight="1" x14ac:dyDescent="0.15"/>
    <row r="802" s="1" customFormat="1" ht="15.75" customHeight="1" x14ac:dyDescent="0.15"/>
    <row r="803" s="1" customFormat="1" ht="15.75" customHeight="1" x14ac:dyDescent="0.15"/>
    <row r="804" s="1" customFormat="1" ht="15.75" customHeight="1" x14ac:dyDescent="0.15"/>
    <row r="805" s="1" customFormat="1" ht="15.75" customHeight="1" x14ac:dyDescent="0.15"/>
    <row r="806" s="1" customFormat="1" ht="15.75" customHeight="1" x14ac:dyDescent="0.15"/>
    <row r="807" s="1" customFormat="1" ht="15.75" customHeight="1" x14ac:dyDescent="0.15"/>
    <row r="808" s="1" customFormat="1" ht="15.75" customHeight="1" x14ac:dyDescent="0.15"/>
    <row r="809" s="1" customFormat="1" ht="15.75" customHeight="1" x14ac:dyDescent="0.15"/>
    <row r="810" s="1" customFormat="1" ht="15.75" customHeight="1" x14ac:dyDescent="0.15"/>
    <row r="811" s="1" customFormat="1" ht="15.75" customHeight="1" x14ac:dyDescent="0.15"/>
    <row r="812" s="1" customFormat="1" ht="15.75" customHeight="1" x14ac:dyDescent="0.15"/>
    <row r="813" s="1" customFormat="1" ht="15.75" customHeight="1" x14ac:dyDescent="0.15"/>
    <row r="814" s="1" customFormat="1" ht="15.75" customHeight="1" x14ac:dyDescent="0.15"/>
    <row r="815" s="1" customFormat="1" ht="15.75" customHeight="1" x14ac:dyDescent="0.15"/>
    <row r="816" s="1" customFormat="1" ht="15.75" customHeight="1" x14ac:dyDescent="0.15"/>
    <row r="817" s="1" customFormat="1" ht="15.75" customHeight="1" x14ac:dyDescent="0.15"/>
    <row r="818" s="1" customFormat="1" ht="15.75" customHeight="1" x14ac:dyDescent="0.15"/>
    <row r="819" s="1" customFormat="1" ht="15.75" customHeight="1" x14ac:dyDescent="0.15"/>
    <row r="820" s="1" customFormat="1" ht="15.75" customHeight="1" x14ac:dyDescent="0.15"/>
    <row r="821" s="1" customFormat="1" ht="15.75" customHeight="1" x14ac:dyDescent="0.15"/>
    <row r="822" s="1" customFormat="1" ht="15.75" customHeight="1" x14ac:dyDescent="0.15"/>
    <row r="823" s="1" customFormat="1" ht="15.75" customHeight="1" x14ac:dyDescent="0.15"/>
    <row r="824" s="1" customFormat="1" ht="15.75" customHeight="1" x14ac:dyDescent="0.15"/>
    <row r="825" s="1" customFormat="1" ht="15.75" customHeight="1" x14ac:dyDescent="0.15"/>
    <row r="826" s="1" customFormat="1" ht="15.75" customHeight="1" x14ac:dyDescent="0.15"/>
    <row r="827" s="1" customFormat="1" ht="15.75" customHeight="1" x14ac:dyDescent="0.15"/>
    <row r="828" s="1" customFormat="1" ht="15.75" customHeight="1" x14ac:dyDescent="0.15"/>
    <row r="829" s="1" customFormat="1" ht="15.75" customHeight="1" x14ac:dyDescent="0.15"/>
    <row r="830" s="1" customFormat="1" ht="15.75" customHeight="1" x14ac:dyDescent="0.15"/>
    <row r="831" s="1" customFormat="1" ht="15.75" customHeight="1" x14ac:dyDescent="0.15"/>
    <row r="832" s="1" customFormat="1" ht="15.75" customHeight="1" x14ac:dyDescent="0.15"/>
    <row r="833" s="1" customFormat="1" ht="15.75" customHeight="1" x14ac:dyDescent="0.15"/>
    <row r="834" s="1" customFormat="1" ht="15.75" customHeight="1" x14ac:dyDescent="0.15"/>
    <row r="835" s="1" customFormat="1" ht="15.75" customHeight="1" x14ac:dyDescent="0.15"/>
    <row r="836" s="1" customFormat="1" ht="15.75" customHeight="1" x14ac:dyDescent="0.15"/>
    <row r="837" s="1" customFormat="1" ht="15.75" customHeight="1" x14ac:dyDescent="0.15"/>
    <row r="838" s="1" customFormat="1" ht="15.75" customHeight="1" x14ac:dyDescent="0.15"/>
    <row r="839" s="1" customFormat="1" ht="15.75" customHeight="1" x14ac:dyDescent="0.15"/>
    <row r="840" s="1" customFormat="1" ht="15.75" customHeight="1" x14ac:dyDescent="0.15"/>
    <row r="841" s="1" customFormat="1" ht="15.75" customHeight="1" x14ac:dyDescent="0.15"/>
    <row r="842" s="1" customFormat="1" ht="15.75" customHeight="1" x14ac:dyDescent="0.15"/>
    <row r="843" s="1" customFormat="1" ht="15.75" customHeight="1" x14ac:dyDescent="0.15"/>
    <row r="844" s="1" customFormat="1" ht="15.75" customHeight="1" x14ac:dyDescent="0.15"/>
    <row r="845" s="1" customFormat="1" ht="15.75" customHeight="1" x14ac:dyDescent="0.15"/>
    <row r="846" s="1" customFormat="1" ht="15.75" customHeight="1" x14ac:dyDescent="0.15"/>
    <row r="847" s="1" customFormat="1" ht="15.75" customHeight="1" x14ac:dyDescent="0.15"/>
    <row r="848" s="1" customFormat="1" ht="15.75" customHeight="1" x14ac:dyDescent="0.15"/>
    <row r="849" s="1" customFormat="1" ht="15.75" customHeight="1" x14ac:dyDescent="0.15"/>
    <row r="850" s="1" customFormat="1" ht="15.75" customHeight="1" x14ac:dyDescent="0.15"/>
    <row r="851" s="1" customFormat="1" ht="15.75" customHeight="1" x14ac:dyDescent="0.15"/>
    <row r="852" s="1" customFormat="1" ht="15.75" customHeight="1" x14ac:dyDescent="0.15"/>
    <row r="853" s="1" customFormat="1" ht="15.75" customHeight="1" x14ac:dyDescent="0.15"/>
    <row r="854" s="1" customFormat="1" ht="15.75" customHeight="1" x14ac:dyDescent="0.15"/>
    <row r="855" s="1" customFormat="1" ht="15.75" customHeight="1" x14ac:dyDescent="0.15"/>
    <row r="856" s="1" customFormat="1" ht="15.75" customHeight="1" x14ac:dyDescent="0.15"/>
    <row r="857" s="1" customFormat="1" ht="15.75" customHeight="1" x14ac:dyDescent="0.15"/>
    <row r="858" s="1" customFormat="1" ht="15.75" customHeight="1" x14ac:dyDescent="0.15"/>
    <row r="859" s="1" customFormat="1" ht="15.75" customHeight="1" x14ac:dyDescent="0.15"/>
    <row r="860" s="1" customFormat="1" ht="15.75" customHeight="1" x14ac:dyDescent="0.15"/>
    <row r="861" s="1" customFormat="1" ht="15.75" customHeight="1" x14ac:dyDescent="0.15"/>
    <row r="862" s="1" customFormat="1" ht="15.75" customHeight="1" x14ac:dyDescent="0.15"/>
    <row r="863" s="1" customFormat="1" ht="15.75" customHeight="1" x14ac:dyDescent="0.15"/>
    <row r="864" s="1" customFormat="1" ht="15.75" customHeight="1" x14ac:dyDescent="0.15"/>
    <row r="865" s="1" customFormat="1" ht="15.75" customHeight="1" x14ac:dyDescent="0.15"/>
    <row r="866" s="1" customFormat="1" ht="15.75" customHeight="1" x14ac:dyDescent="0.15"/>
    <row r="867" s="1" customFormat="1" ht="15.75" customHeight="1" x14ac:dyDescent="0.15"/>
    <row r="868" s="1" customFormat="1" ht="15.75" customHeight="1" x14ac:dyDescent="0.15"/>
    <row r="869" s="1" customFormat="1" ht="15.75" customHeight="1" x14ac:dyDescent="0.15"/>
    <row r="870" s="1" customFormat="1" ht="15.75" customHeight="1" x14ac:dyDescent="0.15"/>
    <row r="871" s="1" customFormat="1" ht="15.75" customHeight="1" x14ac:dyDescent="0.15"/>
    <row r="872" s="1" customFormat="1" ht="15.75" customHeight="1" x14ac:dyDescent="0.15"/>
    <row r="873" s="1" customFormat="1" ht="15.75" customHeight="1" x14ac:dyDescent="0.15"/>
    <row r="874" s="1" customFormat="1" ht="15.75" customHeight="1" x14ac:dyDescent="0.15"/>
    <row r="875" s="1" customFormat="1" ht="15.75" customHeight="1" x14ac:dyDescent="0.15"/>
    <row r="876" s="1" customFormat="1" ht="15.75" customHeight="1" x14ac:dyDescent="0.15"/>
    <row r="877" s="1" customFormat="1" ht="15.75" customHeight="1" x14ac:dyDescent="0.15"/>
    <row r="878" s="1" customFormat="1" ht="15.75" customHeight="1" x14ac:dyDescent="0.15"/>
    <row r="879" s="1" customFormat="1" ht="15.75" customHeight="1" x14ac:dyDescent="0.15"/>
    <row r="880" s="1" customFormat="1" ht="15.75" customHeight="1" x14ac:dyDescent="0.15"/>
    <row r="881" s="1" customFormat="1" ht="15.75" customHeight="1" x14ac:dyDescent="0.15"/>
    <row r="882" s="1" customFormat="1" ht="15.75" customHeight="1" x14ac:dyDescent="0.15"/>
    <row r="883" s="1" customFormat="1" ht="15.75" customHeight="1" x14ac:dyDescent="0.15"/>
    <row r="884" s="1" customFormat="1" ht="15.75" customHeight="1" x14ac:dyDescent="0.15"/>
    <row r="885" s="1" customFormat="1" ht="15.75" customHeight="1" x14ac:dyDescent="0.15"/>
    <row r="886" s="1" customFormat="1" ht="15.75" customHeight="1" x14ac:dyDescent="0.15"/>
    <row r="887" s="1" customFormat="1" ht="15.75" customHeight="1" x14ac:dyDescent="0.15"/>
    <row r="888" s="1" customFormat="1" ht="15.75" customHeight="1" x14ac:dyDescent="0.15"/>
    <row r="889" s="1" customFormat="1" ht="15.75" customHeight="1" x14ac:dyDescent="0.15"/>
    <row r="890" s="1" customFormat="1" ht="15.75" customHeight="1" x14ac:dyDescent="0.15"/>
    <row r="891" s="1" customFormat="1" ht="15.75" customHeight="1" x14ac:dyDescent="0.15"/>
    <row r="892" s="1" customFormat="1" ht="15.75" customHeight="1" x14ac:dyDescent="0.15"/>
    <row r="893" s="1" customFormat="1" ht="15.75" customHeight="1" x14ac:dyDescent="0.15"/>
    <row r="894" s="1" customFormat="1" ht="15.75" customHeight="1" x14ac:dyDescent="0.15"/>
    <row r="895" s="1" customFormat="1" ht="15.75" customHeight="1" x14ac:dyDescent="0.15"/>
    <row r="896" s="1" customFormat="1" ht="15.75" customHeight="1" x14ac:dyDescent="0.15"/>
    <row r="897" s="1" customFormat="1" ht="15.75" customHeight="1" x14ac:dyDescent="0.15"/>
    <row r="898" s="1" customFormat="1" ht="15.75" customHeight="1" x14ac:dyDescent="0.15"/>
    <row r="899" s="1" customFormat="1" ht="15.75" customHeight="1" x14ac:dyDescent="0.15"/>
    <row r="900" s="1" customFormat="1" ht="15.75" customHeight="1" x14ac:dyDescent="0.15"/>
    <row r="901" s="1" customFormat="1" ht="15.75" customHeight="1" x14ac:dyDescent="0.15"/>
    <row r="902" s="1" customFormat="1" ht="15.75" customHeight="1" x14ac:dyDescent="0.15"/>
    <row r="903" s="1" customFormat="1" ht="15.75" customHeight="1" x14ac:dyDescent="0.15"/>
    <row r="904" s="1" customFormat="1" ht="15.75" customHeight="1" x14ac:dyDescent="0.15"/>
    <row r="905" s="1" customFormat="1" ht="15.75" customHeight="1" x14ac:dyDescent="0.15"/>
    <row r="906" s="1" customFormat="1" ht="15.75" customHeight="1" x14ac:dyDescent="0.15"/>
    <row r="907" s="1" customFormat="1" ht="15.75" customHeight="1" x14ac:dyDescent="0.15"/>
    <row r="908" s="1" customFormat="1" ht="15.75" customHeight="1" x14ac:dyDescent="0.15"/>
    <row r="909" s="1" customFormat="1" ht="15.75" customHeight="1" x14ac:dyDescent="0.15"/>
    <row r="910" s="1" customFormat="1" ht="15.75" customHeight="1" x14ac:dyDescent="0.15"/>
    <row r="911" s="1" customFormat="1" ht="15.75" customHeight="1" x14ac:dyDescent="0.15"/>
    <row r="912" s="1" customFormat="1" ht="15.75" customHeight="1" x14ac:dyDescent="0.15"/>
    <row r="913" s="1" customFormat="1" ht="15.75" customHeight="1" x14ac:dyDescent="0.15"/>
    <row r="914" s="1" customFormat="1" ht="15.75" customHeight="1" x14ac:dyDescent="0.15"/>
    <row r="915" s="1" customFormat="1" ht="15.75" customHeight="1" x14ac:dyDescent="0.15"/>
    <row r="916" s="1" customFormat="1" ht="15.75" customHeight="1" x14ac:dyDescent="0.15"/>
    <row r="917" s="1" customFormat="1" ht="15.75" customHeight="1" x14ac:dyDescent="0.15"/>
    <row r="918" s="1" customFormat="1" ht="15.75" customHeight="1" x14ac:dyDescent="0.15"/>
    <row r="919" s="1" customFormat="1" ht="15.75" customHeight="1" x14ac:dyDescent="0.15"/>
    <row r="920" s="1" customFormat="1" ht="15.75" customHeight="1" x14ac:dyDescent="0.15"/>
    <row r="921" s="1" customFormat="1" ht="15.75" customHeight="1" x14ac:dyDescent="0.15"/>
    <row r="922" s="1" customFormat="1" ht="15.75" customHeight="1" x14ac:dyDescent="0.15"/>
    <row r="923" s="1" customFormat="1" ht="15.75" customHeight="1" x14ac:dyDescent="0.15"/>
    <row r="924" s="1" customFormat="1" ht="15.75" customHeight="1" x14ac:dyDescent="0.15"/>
    <row r="925" s="1" customFormat="1" ht="15.75" customHeight="1" x14ac:dyDescent="0.15"/>
    <row r="926" s="1" customFormat="1" ht="15.75" customHeight="1" x14ac:dyDescent="0.15"/>
    <row r="927" s="1" customFormat="1" ht="15.75" customHeight="1" x14ac:dyDescent="0.15"/>
    <row r="928" s="1" customFormat="1" ht="15.75" customHeight="1" x14ac:dyDescent="0.15"/>
    <row r="929" s="1" customFormat="1" ht="15.75" customHeight="1" x14ac:dyDescent="0.15"/>
    <row r="930" s="1" customFormat="1" ht="15.75" customHeight="1" x14ac:dyDescent="0.15"/>
    <row r="931" s="1" customFormat="1" ht="15.75" customHeight="1" x14ac:dyDescent="0.15"/>
    <row r="932" s="1" customFormat="1" ht="15.75" customHeight="1" x14ac:dyDescent="0.15"/>
    <row r="933" s="1" customFormat="1" ht="15.75" customHeight="1" x14ac:dyDescent="0.15"/>
    <row r="934" s="1" customFormat="1" ht="15.75" customHeight="1" x14ac:dyDescent="0.15"/>
    <row r="935" s="1" customFormat="1" ht="15.75" customHeight="1" x14ac:dyDescent="0.15"/>
    <row r="936" s="1" customFormat="1" ht="15.75" customHeight="1" x14ac:dyDescent="0.15"/>
    <row r="937" s="1" customFormat="1" ht="15.75" customHeight="1" x14ac:dyDescent="0.15"/>
    <row r="938" s="1" customFormat="1" ht="15.75" customHeight="1" x14ac:dyDescent="0.15"/>
    <row r="939" s="1" customFormat="1" ht="15.75" customHeight="1" x14ac:dyDescent="0.15"/>
    <row r="940" s="1" customFormat="1" ht="15.75" customHeight="1" x14ac:dyDescent="0.15"/>
    <row r="941" s="1" customFormat="1" ht="15.75" customHeight="1" x14ac:dyDescent="0.15"/>
    <row r="942" s="1" customFormat="1" ht="15.75" customHeight="1" x14ac:dyDescent="0.15"/>
    <row r="943" s="1" customFormat="1" ht="15.75" customHeight="1" x14ac:dyDescent="0.15"/>
    <row r="944" s="1" customFormat="1" ht="15.75" customHeight="1" x14ac:dyDescent="0.15"/>
    <row r="945" s="1" customFormat="1" ht="15.75" customHeight="1" x14ac:dyDescent="0.15"/>
    <row r="946" s="1" customFormat="1" ht="15.75" customHeight="1" x14ac:dyDescent="0.15"/>
    <row r="947" s="1" customFormat="1" ht="15.75" customHeight="1" x14ac:dyDescent="0.15"/>
    <row r="948" s="1" customFormat="1" ht="15.75" customHeight="1" x14ac:dyDescent="0.15"/>
    <row r="949" s="1" customFormat="1" ht="15.75" customHeight="1" x14ac:dyDescent="0.15"/>
    <row r="950" s="1" customFormat="1" ht="15.75" customHeight="1" x14ac:dyDescent="0.15"/>
    <row r="951" s="1" customFormat="1" ht="15.75" customHeight="1" x14ac:dyDescent="0.15"/>
    <row r="952" s="1" customFormat="1" ht="15.75" customHeight="1" x14ac:dyDescent="0.15"/>
    <row r="953" s="1" customFormat="1" ht="15.75" customHeight="1" x14ac:dyDescent="0.15"/>
    <row r="954" s="1" customFormat="1" ht="15.75" customHeight="1" x14ac:dyDescent="0.15"/>
    <row r="955" s="1" customFormat="1" ht="15.75" customHeight="1" x14ac:dyDescent="0.15"/>
    <row r="956" s="1" customFormat="1" ht="15.75" customHeight="1" x14ac:dyDescent="0.15"/>
    <row r="957" s="1" customFormat="1" ht="15.75" customHeight="1" x14ac:dyDescent="0.15"/>
    <row r="958" s="1" customFormat="1" ht="15.75" customHeight="1" x14ac:dyDescent="0.15"/>
    <row r="959" s="1" customFormat="1" ht="15.75" customHeight="1" x14ac:dyDescent="0.15"/>
    <row r="960" s="1" customFormat="1" ht="15.75" customHeight="1" x14ac:dyDescent="0.15"/>
    <row r="961" s="1" customFormat="1" ht="15.75" customHeight="1" x14ac:dyDescent="0.15"/>
    <row r="962" s="1" customFormat="1" ht="15.75" customHeight="1" x14ac:dyDescent="0.15"/>
    <row r="963" s="1" customFormat="1" ht="15.75" customHeight="1" x14ac:dyDescent="0.15"/>
    <row r="964" s="1" customFormat="1" ht="15.75" customHeight="1" x14ac:dyDescent="0.15"/>
    <row r="965" s="1" customFormat="1" ht="15.75" customHeight="1" x14ac:dyDescent="0.15"/>
    <row r="966" s="1" customFormat="1" ht="15.75" customHeight="1" x14ac:dyDescent="0.15"/>
    <row r="967" s="1" customFormat="1" ht="15.75" customHeight="1" x14ac:dyDescent="0.15"/>
    <row r="968" s="1" customFormat="1" ht="15.75" customHeight="1" x14ac:dyDescent="0.15"/>
    <row r="969" s="1" customFormat="1" ht="15.75" customHeight="1" x14ac:dyDescent="0.15"/>
    <row r="970" s="1" customFormat="1" ht="15.75" customHeight="1" x14ac:dyDescent="0.15"/>
    <row r="971" s="1" customFormat="1" ht="15.75" customHeight="1" x14ac:dyDescent="0.15"/>
    <row r="972" s="1" customFormat="1" ht="15.75" customHeight="1" x14ac:dyDescent="0.15"/>
    <row r="973" s="1" customFormat="1" ht="15.75" customHeight="1" x14ac:dyDescent="0.15"/>
    <row r="974" s="1" customFormat="1" ht="15.75" customHeight="1" x14ac:dyDescent="0.15"/>
    <row r="975" s="1" customFormat="1" ht="15.75" customHeight="1" x14ac:dyDescent="0.15"/>
    <row r="976" s="1" customFormat="1" ht="15.75" customHeight="1" x14ac:dyDescent="0.15"/>
    <row r="977" s="1" customFormat="1" ht="15.75" customHeight="1" x14ac:dyDescent="0.15"/>
    <row r="978" s="1" customFormat="1" ht="15.75" customHeight="1" x14ac:dyDescent="0.15"/>
    <row r="979" s="1" customFormat="1" ht="15.75" customHeight="1" x14ac:dyDescent="0.15"/>
    <row r="980" s="1" customFormat="1" ht="15.75" customHeight="1" x14ac:dyDescent="0.15"/>
    <row r="981" s="1" customFormat="1" ht="15.75" customHeight="1" x14ac:dyDescent="0.15"/>
    <row r="982" s="1" customFormat="1" ht="15.75" customHeight="1" x14ac:dyDescent="0.15"/>
    <row r="983" s="1" customFormat="1" ht="15.75" customHeight="1" x14ac:dyDescent="0.15"/>
    <row r="984" s="1" customFormat="1" ht="15.75" customHeight="1" x14ac:dyDescent="0.15"/>
    <row r="985" s="1" customFormat="1" ht="15.75" customHeight="1" x14ac:dyDescent="0.15"/>
    <row r="986" s="1" customFormat="1" ht="15.75" customHeight="1" x14ac:dyDescent="0.15"/>
    <row r="987" s="1" customFormat="1" ht="15.75" customHeight="1" x14ac:dyDescent="0.15"/>
    <row r="988" s="1" customFormat="1" ht="15.75" customHeight="1" x14ac:dyDescent="0.15"/>
    <row r="989" s="1" customFormat="1" ht="15.75" customHeight="1" x14ac:dyDescent="0.15"/>
    <row r="990" s="1" customFormat="1" ht="15.75" customHeight="1" x14ac:dyDescent="0.15"/>
    <row r="991" s="1" customFormat="1" ht="15.75" customHeight="1" x14ac:dyDescent="0.15"/>
    <row r="992" s="1" customFormat="1" ht="15.75" customHeight="1" x14ac:dyDescent="0.15"/>
    <row r="993" s="1" customFormat="1" ht="15.75" customHeight="1" x14ac:dyDescent="0.15"/>
    <row r="994" s="1" customFormat="1" ht="15.75" customHeight="1" x14ac:dyDescent="0.15"/>
    <row r="995" s="1" customFormat="1" ht="15.75" customHeight="1" x14ac:dyDescent="0.15"/>
    <row r="996" s="1" customFormat="1" ht="15.75" customHeight="1" x14ac:dyDescent="0.15"/>
    <row r="997" s="1" customFormat="1" ht="15.75" customHeight="1" x14ac:dyDescent="0.15"/>
    <row r="998" s="1" customFormat="1" ht="15.75" customHeight="1" x14ac:dyDescent="0.15"/>
    <row r="999" s="1" customFormat="1" ht="15.75" customHeight="1" x14ac:dyDescent="0.15"/>
    <row r="1000" s="1" customFormat="1" ht="15.75" customHeight="1" x14ac:dyDescent="0.15"/>
  </sheetData>
  <mergeCells count="1">
    <mergeCell ref="E1:G1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000"/>
  <sheetViews>
    <sheetView showGridLines="0" workbookViewId="0">
      <selection activeCell="A10" sqref="A10"/>
    </sheetView>
  </sheetViews>
  <sheetFormatPr baseColWidth="10" defaultColWidth="14.5" defaultRowHeight="15" customHeight="1" x14ac:dyDescent="0.15"/>
  <cols>
    <col min="1" max="1" width="39" style="2" customWidth="1"/>
    <col min="2" max="2" width="15.1640625" style="2" customWidth="1"/>
    <col min="3" max="4" width="11.5" style="2" customWidth="1"/>
    <col min="5" max="5" width="13.1640625" style="2" customWidth="1"/>
    <col min="6" max="7" width="13.1640625" style="2" hidden="1" customWidth="1"/>
    <col min="8" max="16384" width="14.5" style="2"/>
  </cols>
  <sheetData>
    <row r="1" spans="1:7" s="104" customFormat="1" ht="69" customHeight="1" x14ac:dyDescent="0.15">
      <c r="A1" s="144" t="str">
        <f>'Gross Pat. Count'!A1</f>
        <v>HOOVER</v>
      </c>
      <c r="B1" s="145"/>
      <c r="C1" s="146"/>
      <c r="D1" s="142" t="str">
        <f>PROPER('Gross Pat. Count'!$F$1)</f>
        <v>45717</v>
      </c>
      <c r="E1" s="147"/>
      <c r="F1" s="147"/>
      <c r="G1" s="147"/>
    </row>
    <row r="2" spans="1:7" s="104" customFormat="1" ht="45" customHeight="1" x14ac:dyDescent="0.15">
      <c r="A2" s="105" t="s">
        <v>39</v>
      </c>
      <c r="B2" s="106" t="s">
        <v>40</v>
      </c>
      <c r="C2" s="106" t="s">
        <v>41</v>
      </c>
      <c r="D2" s="107" t="s">
        <v>42</v>
      </c>
      <c r="E2" s="107" t="s">
        <v>41</v>
      </c>
      <c r="F2" s="108" t="s">
        <v>43</v>
      </c>
      <c r="G2" s="108" t="s">
        <v>41</v>
      </c>
    </row>
    <row r="3" spans="1:7" ht="18" customHeight="1" x14ac:dyDescent="0.15">
      <c r="A3" s="84">
        <f>'Gross Pat. Count'!A5</f>
        <v>46085</v>
      </c>
      <c r="B3" s="85"/>
      <c r="C3" s="85">
        <f t="shared" ref="C3:C21" si="0">SUM(B3*4)</f>
        <v>0</v>
      </c>
      <c r="D3" s="86"/>
      <c r="E3" s="85">
        <f t="shared" ref="E3:E21" si="1">SUM(D3*4)</f>
        <v>0</v>
      </c>
      <c r="F3" s="86"/>
      <c r="G3" s="85">
        <f t="shared" ref="G3:G21" si="2">SUM(F3*4)</f>
        <v>0</v>
      </c>
    </row>
    <row r="4" spans="1:7" ht="18" customHeight="1" x14ac:dyDescent="0.15">
      <c r="A4" s="84">
        <f>'Gross Pat. Count'!A6</f>
        <v>46086</v>
      </c>
      <c r="B4" s="85"/>
      <c r="C4" s="85">
        <f t="shared" si="0"/>
        <v>0</v>
      </c>
      <c r="D4" s="86"/>
      <c r="E4" s="85">
        <f t="shared" si="1"/>
        <v>0</v>
      </c>
      <c r="F4" s="86"/>
      <c r="G4" s="85">
        <f t="shared" si="2"/>
        <v>0</v>
      </c>
    </row>
    <row r="5" spans="1:7" ht="18" customHeight="1" x14ac:dyDescent="0.15">
      <c r="A5" s="84">
        <f>'Gross Pat. Count'!A7</f>
        <v>46088</v>
      </c>
      <c r="B5" s="85"/>
      <c r="C5" s="85">
        <f t="shared" si="0"/>
        <v>0</v>
      </c>
      <c r="D5" s="86"/>
      <c r="E5" s="85">
        <f t="shared" si="1"/>
        <v>0</v>
      </c>
      <c r="F5" s="86"/>
      <c r="G5" s="85">
        <f t="shared" si="2"/>
        <v>0</v>
      </c>
    </row>
    <row r="6" spans="1:7" ht="18" customHeight="1" x14ac:dyDescent="0.15">
      <c r="A6" s="84">
        <f>'Gross Pat. Count'!A8</f>
        <v>46092</v>
      </c>
      <c r="B6" s="85"/>
      <c r="C6" s="85">
        <f t="shared" si="0"/>
        <v>0</v>
      </c>
      <c r="D6" s="86"/>
      <c r="E6" s="85">
        <f t="shared" si="1"/>
        <v>0</v>
      </c>
      <c r="F6" s="86"/>
      <c r="G6" s="85">
        <f t="shared" si="2"/>
        <v>0</v>
      </c>
    </row>
    <row r="7" spans="1:7" ht="18" customHeight="1" x14ac:dyDescent="0.15">
      <c r="A7" s="84">
        <f>'Gross Pat. Count'!A9</f>
        <v>46093</v>
      </c>
      <c r="B7" s="85"/>
      <c r="C7" s="85">
        <f t="shared" si="0"/>
        <v>0</v>
      </c>
      <c r="D7" s="86"/>
      <c r="E7" s="85">
        <f t="shared" si="1"/>
        <v>0</v>
      </c>
      <c r="F7" s="86"/>
      <c r="G7" s="85">
        <f t="shared" si="2"/>
        <v>0</v>
      </c>
    </row>
    <row r="8" spans="1:7" ht="18" customHeight="1" x14ac:dyDescent="0.15">
      <c r="A8" s="84">
        <f>'Gross Pat. Count'!A10</f>
        <v>46095</v>
      </c>
      <c r="B8" s="85"/>
      <c r="C8" s="85">
        <f t="shared" si="0"/>
        <v>0</v>
      </c>
      <c r="D8" s="86"/>
      <c r="E8" s="85">
        <f t="shared" si="1"/>
        <v>0</v>
      </c>
      <c r="F8" s="86"/>
      <c r="G8" s="85">
        <f t="shared" si="2"/>
        <v>0</v>
      </c>
    </row>
    <row r="9" spans="1:7" ht="18" customHeight="1" x14ac:dyDescent="0.15">
      <c r="A9" s="84">
        <f>'Gross Pat. Count'!A11</f>
        <v>46099</v>
      </c>
      <c r="B9" s="85"/>
      <c r="C9" s="85">
        <f t="shared" si="0"/>
        <v>0</v>
      </c>
      <c r="D9" s="86"/>
      <c r="E9" s="85">
        <f t="shared" si="1"/>
        <v>0</v>
      </c>
      <c r="F9" s="86"/>
      <c r="G9" s="85">
        <f t="shared" si="2"/>
        <v>0</v>
      </c>
    </row>
    <row r="10" spans="1:7" ht="18" customHeight="1" x14ac:dyDescent="0.15">
      <c r="A10" s="84">
        <f>'Gross Pat. Count'!A12</f>
        <v>46100</v>
      </c>
      <c r="B10" s="85"/>
      <c r="C10" s="85">
        <f t="shared" si="0"/>
        <v>0</v>
      </c>
      <c r="D10" s="86"/>
      <c r="E10" s="85">
        <f t="shared" si="1"/>
        <v>0</v>
      </c>
      <c r="F10" s="86"/>
      <c r="G10" s="85">
        <f t="shared" si="2"/>
        <v>0</v>
      </c>
    </row>
    <row r="11" spans="1:7" ht="18" customHeight="1" x14ac:dyDescent="0.15">
      <c r="A11" s="84">
        <f>'Gross Pat. Count'!A13</f>
        <v>46102</v>
      </c>
      <c r="B11" s="85"/>
      <c r="C11" s="85">
        <f t="shared" si="0"/>
        <v>0</v>
      </c>
      <c r="D11" s="86"/>
      <c r="E11" s="85">
        <f t="shared" si="1"/>
        <v>0</v>
      </c>
      <c r="F11" s="86"/>
      <c r="G11" s="85">
        <f t="shared" si="2"/>
        <v>0</v>
      </c>
    </row>
    <row r="12" spans="1:7" ht="18" customHeight="1" x14ac:dyDescent="0.15">
      <c r="A12" s="84">
        <f>'Gross Pat. Count'!A14</f>
        <v>46106</v>
      </c>
      <c r="B12" s="85"/>
      <c r="C12" s="85">
        <f t="shared" si="0"/>
        <v>0</v>
      </c>
      <c r="D12" s="86"/>
      <c r="E12" s="85">
        <f t="shared" si="1"/>
        <v>0</v>
      </c>
      <c r="F12" s="86"/>
      <c r="G12" s="85">
        <f t="shared" si="2"/>
        <v>0</v>
      </c>
    </row>
    <row r="13" spans="1:7" ht="18" customHeight="1" x14ac:dyDescent="0.15">
      <c r="A13" s="84">
        <f>'Gross Pat. Count'!A15</f>
        <v>46107</v>
      </c>
      <c r="B13" s="85"/>
      <c r="C13" s="85">
        <f t="shared" si="0"/>
        <v>0</v>
      </c>
      <c r="D13" s="86"/>
      <c r="E13" s="85">
        <f t="shared" si="1"/>
        <v>0</v>
      </c>
      <c r="F13" s="86"/>
      <c r="G13" s="85">
        <f t="shared" si="2"/>
        <v>0</v>
      </c>
    </row>
    <row r="14" spans="1:7" ht="18" customHeight="1" x14ac:dyDescent="0.15">
      <c r="A14" s="84">
        <f>'Gross Pat. Count'!A16</f>
        <v>46109</v>
      </c>
      <c r="B14" s="85"/>
      <c r="C14" s="85">
        <f t="shared" si="0"/>
        <v>0</v>
      </c>
      <c r="D14" s="86"/>
      <c r="E14" s="85">
        <f t="shared" si="1"/>
        <v>0</v>
      </c>
      <c r="F14" s="86"/>
      <c r="G14" s="85">
        <f t="shared" si="2"/>
        <v>0</v>
      </c>
    </row>
    <row r="15" spans="1:7" ht="18" customHeight="1" x14ac:dyDescent="0.15">
      <c r="A15" s="84">
        <f>'Gross Pat. Count'!A17</f>
        <v>46112</v>
      </c>
      <c r="B15" s="85">
        <v>2</v>
      </c>
      <c r="C15" s="85">
        <f t="shared" si="0"/>
        <v>8</v>
      </c>
      <c r="D15" s="86">
        <v>4</v>
      </c>
      <c r="E15" s="85">
        <f t="shared" si="1"/>
        <v>16</v>
      </c>
      <c r="F15" s="86"/>
      <c r="G15" s="85">
        <f t="shared" si="2"/>
        <v>0</v>
      </c>
    </row>
    <row r="16" spans="1:7" ht="18" customHeight="1" x14ac:dyDescent="0.15">
      <c r="A16" s="84">
        <f>'Gross Pat. Count'!A18</f>
        <v>0</v>
      </c>
      <c r="B16" s="85"/>
      <c r="C16" s="85">
        <f t="shared" si="0"/>
        <v>0</v>
      </c>
      <c r="D16" s="86"/>
      <c r="E16" s="85">
        <f t="shared" si="1"/>
        <v>0</v>
      </c>
      <c r="F16" s="86"/>
      <c r="G16" s="85">
        <f t="shared" si="2"/>
        <v>0</v>
      </c>
    </row>
    <row r="17" spans="1:7" ht="18" customHeight="1" x14ac:dyDescent="0.15">
      <c r="A17" s="84">
        <f>'Gross Pat. Count'!A19</f>
        <v>0</v>
      </c>
      <c r="B17" s="85"/>
      <c r="C17" s="85">
        <f t="shared" si="0"/>
        <v>0</v>
      </c>
      <c r="D17" s="86"/>
      <c r="E17" s="85">
        <f t="shared" si="1"/>
        <v>0</v>
      </c>
      <c r="F17" s="86"/>
      <c r="G17" s="85">
        <f t="shared" si="2"/>
        <v>0</v>
      </c>
    </row>
    <row r="18" spans="1:7" ht="18" customHeight="1" x14ac:dyDescent="0.15">
      <c r="A18" s="84">
        <f>'Gross Pat. Count'!A20</f>
        <v>0</v>
      </c>
      <c r="B18" s="85"/>
      <c r="C18" s="85">
        <f t="shared" si="0"/>
        <v>0</v>
      </c>
      <c r="D18" s="86"/>
      <c r="E18" s="85">
        <f t="shared" si="1"/>
        <v>0</v>
      </c>
      <c r="F18" s="86"/>
      <c r="G18" s="85">
        <f t="shared" si="2"/>
        <v>0</v>
      </c>
    </row>
    <row r="19" spans="1:7" ht="18" customHeight="1" x14ac:dyDescent="0.15">
      <c r="A19" s="84">
        <f>'Gross Pat. Count'!A21</f>
        <v>0</v>
      </c>
      <c r="B19" s="85"/>
      <c r="C19" s="85">
        <f t="shared" si="0"/>
        <v>0</v>
      </c>
      <c r="D19" s="86"/>
      <c r="E19" s="85">
        <f t="shared" si="1"/>
        <v>0</v>
      </c>
      <c r="F19" s="86"/>
      <c r="G19" s="85">
        <f t="shared" si="2"/>
        <v>0</v>
      </c>
    </row>
    <row r="20" spans="1:7" ht="18" customHeight="1" x14ac:dyDescent="0.15">
      <c r="A20" s="84">
        <f>'Gross Pat. Count'!A22</f>
        <v>0</v>
      </c>
      <c r="B20" s="85"/>
      <c r="C20" s="85">
        <f t="shared" si="0"/>
        <v>0</v>
      </c>
      <c r="D20" s="86"/>
      <c r="E20" s="85">
        <f t="shared" si="1"/>
        <v>0</v>
      </c>
      <c r="F20" s="86"/>
      <c r="G20" s="85">
        <f t="shared" si="2"/>
        <v>0</v>
      </c>
    </row>
    <row r="21" spans="1:7" ht="18" customHeight="1" x14ac:dyDescent="0.15">
      <c r="A21" s="87" t="s">
        <v>44</v>
      </c>
      <c r="B21" s="88">
        <f>SUM(B3:B20)</f>
        <v>2</v>
      </c>
      <c r="C21" s="85">
        <f t="shared" si="0"/>
        <v>8</v>
      </c>
      <c r="D21" s="88">
        <f>SUM(D3:D20)</f>
        <v>4</v>
      </c>
      <c r="E21" s="85">
        <f t="shared" si="1"/>
        <v>16</v>
      </c>
      <c r="F21" s="88">
        <f>SUM(F3:F20)</f>
        <v>0</v>
      </c>
      <c r="G21" s="85">
        <f t="shared" si="2"/>
        <v>0</v>
      </c>
    </row>
    <row r="22" spans="1:7" ht="15.75" customHeight="1" x14ac:dyDescent="0.15"/>
    <row r="23" spans="1:7" ht="15.75" customHeight="1" x14ac:dyDescent="0.15"/>
    <row r="24" spans="1:7" ht="15.75" customHeight="1" x14ac:dyDescent="0.15"/>
    <row r="25" spans="1:7" ht="15.75" customHeight="1" x14ac:dyDescent="0.15"/>
    <row r="26" spans="1:7" ht="15.75" customHeight="1" x14ac:dyDescent="0.15"/>
    <row r="27" spans="1:7" ht="15.75" customHeight="1" x14ac:dyDescent="0.15"/>
    <row r="28" spans="1:7" ht="15.75" customHeight="1" x14ac:dyDescent="0.15"/>
    <row r="29" spans="1:7" ht="15.75" customHeight="1" x14ac:dyDescent="0.15"/>
    <row r="30" spans="1:7" ht="15.75" customHeight="1" x14ac:dyDescent="0.15"/>
    <row r="31" spans="1:7" ht="15.75" customHeight="1" x14ac:dyDescent="0.15"/>
    <row r="32" spans="1:7" ht="15.75" customHeight="1" x14ac:dyDescent="0.15"/>
    <row r="33" s="2" customFormat="1" ht="15.75" customHeight="1" x14ac:dyDescent="0.15"/>
    <row r="34" s="2" customFormat="1" ht="15.75" customHeight="1" x14ac:dyDescent="0.15"/>
    <row r="35" s="2" customFormat="1" ht="15.75" customHeight="1" x14ac:dyDescent="0.15"/>
    <row r="36" s="2" customFormat="1" ht="15.75" customHeight="1" x14ac:dyDescent="0.15"/>
    <row r="37" s="2" customFormat="1" ht="15.75" customHeight="1" x14ac:dyDescent="0.15"/>
    <row r="38" s="2" customFormat="1" ht="15.75" customHeight="1" x14ac:dyDescent="0.15"/>
    <row r="39" s="2" customFormat="1" ht="15.75" customHeight="1" x14ac:dyDescent="0.15"/>
    <row r="40" s="2" customFormat="1" ht="15.75" customHeight="1" x14ac:dyDescent="0.15"/>
    <row r="41" s="2" customFormat="1" ht="15.75" customHeight="1" x14ac:dyDescent="0.15"/>
    <row r="42" s="2" customFormat="1" ht="15.75" customHeight="1" x14ac:dyDescent="0.15"/>
    <row r="43" s="2" customFormat="1" ht="15.75" customHeight="1" x14ac:dyDescent="0.15"/>
    <row r="44" s="2" customFormat="1" ht="15.75" customHeight="1" x14ac:dyDescent="0.15"/>
    <row r="45" s="2" customFormat="1" ht="15.75" customHeight="1" x14ac:dyDescent="0.15"/>
    <row r="46" s="2" customFormat="1" ht="15.75" customHeight="1" x14ac:dyDescent="0.15"/>
    <row r="47" s="2" customFormat="1" ht="15.75" customHeight="1" x14ac:dyDescent="0.15"/>
    <row r="48" s="2" customFormat="1" ht="15.75" customHeight="1" x14ac:dyDescent="0.15"/>
    <row r="49" s="2" customFormat="1" ht="15.75" customHeight="1" x14ac:dyDescent="0.15"/>
    <row r="50" s="2" customFormat="1" ht="15.75" customHeight="1" x14ac:dyDescent="0.15"/>
    <row r="51" s="2" customFormat="1" ht="15.75" customHeight="1" x14ac:dyDescent="0.15"/>
    <row r="52" s="2" customFormat="1" ht="15.75" customHeight="1" x14ac:dyDescent="0.15"/>
    <row r="53" s="2" customFormat="1" ht="15.75" customHeight="1" x14ac:dyDescent="0.15"/>
    <row r="54" s="2" customFormat="1" ht="15.75" customHeight="1" x14ac:dyDescent="0.15"/>
    <row r="55" s="2" customFormat="1" ht="15.75" customHeight="1" x14ac:dyDescent="0.15"/>
    <row r="56" s="2" customFormat="1" ht="15.75" customHeight="1" x14ac:dyDescent="0.15"/>
    <row r="57" s="2" customFormat="1" ht="15.75" customHeight="1" x14ac:dyDescent="0.15"/>
    <row r="58" s="2" customFormat="1" ht="15.75" customHeight="1" x14ac:dyDescent="0.15"/>
    <row r="59" s="2" customFormat="1" ht="15.75" customHeight="1" x14ac:dyDescent="0.15"/>
    <row r="60" s="2" customFormat="1" ht="15.75" customHeight="1" x14ac:dyDescent="0.15"/>
    <row r="61" s="2" customFormat="1" ht="15.75" customHeight="1" x14ac:dyDescent="0.15"/>
    <row r="62" s="2" customFormat="1" ht="15.75" customHeight="1" x14ac:dyDescent="0.15"/>
    <row r="63" s="2" customFormat="1" ht="15.75" customHeight="1" x14ac:dyDescent="0.15"/>
    <row r="64" s="2" customFormat="1" ht="15.75" customHeight="1" x14ac:dyDescent="0.15"/>
    <row r="65" s="2" customFormat="1" ht="15.75" customHeight="1" x14ac:dyDescent="0.15"/>
    <row r="66" s="2" customFormat="1" ht="15.75" customHeight="1" x14ac:dyDescent="0.15"/>
    <row r="67" s="2" customFormat="1" ht="15.75" customHeight="1" x14ac:dyDescent="0.15"/>
    <row r="68" s="2" customFormat="1" ht="15.75" customHeight="1" x14ac:dyDescent="0.15"/>
    <row r="69" s="2" customFormat="1" ht="15.75" customHeight="1" x14ac:dyDescent="0.15"/>
    <row r="70" s="2" customFormat="1" ht="15.75" customHeight="1" x14ac:dyDescent="0.15"/>
    <row r="71" s="2" customFormat="1" ht="15.75" customHeight="1" x14ac:dyDescent="0.15"/>
    <row r="72" s="2" customFormat="1" ht="15.75" customHeight="1" x14ac:dyDescent="0.15"/>
    <row r="73" s="2" customFormat="1" ht="15.75" customHeight="1" x14ac:dyDescent="0.15"/>
    <row r="74" s="2" customFormat="1" ht="15.75" customHeight="1" x14ac:dyDescent="0.15"/>
    <row r="75" s="2" customFormat="1" ht="15.75" customHeight="1" x14ac:dyDescent="0.15"/>
    <row r="76" s="2" customFormat="1" ht="15.75" customHeight="1" x14ac:dyDescent="0.15"/>
    <row r="77" s="2" customFormat="1" ht="15.75" customHeight="1" x14ac:dyDescent="0.15"/>
    <row r="78" s="2" customFormat="1" ht="15.75" customHeight="1" x14ac:dyDescent="0.15"/>
    <row r="79" s="2" customFormat="1" ht="15.75" customHeight="1" x14ac:dyDescent="0.15"/>
    <row r="80" s="2" customFormat="1" ht="15.75" customHeight="1" x14ac:dyDescent="0.15"/>
    <row r="81" s="2" customFormat="1" ht="15.75" customHeight="1" x14ac:dyDescent="0.15"/>
    <row r="82" s="2" customFormat="1" ht="15.75" customHeight="1" x14ac:dyDescent="0.15"/>
    <row r="83" s="2" customFormat="1" ht="15.75" customHeight="1" x14ac:dyDescent="0.15"/>
    <row r="84" s="2" customFormat="1" ht="15.75" customHeight="1" x14ac:dyDescent="0.15"/>
    <row r="85" s="2" customFormat="1" ht="15.75" customHeight="1" x14ac:dyDescent="0.15"/>
    <row r="86" s="2" customFormat="1" ht="15.75" customHeight="1" x14ac:dyDescent="0.15"/>
    <row r="87" s="2" customFormat="1" ht="15.75" customHeight="1" x14ac:dyDescent="0.15"/>
    <row r="88" s="2" customFormat="1" ht="15.75" customHeight="1" x14ac:dyDescent="0.15"/>
    <row r="89" s="2" customFormat="1" ht="15.75" customHeight="1" x14ac:dyDescent="0.15"/>
    <row r="90" s="2" customFormat="1" ht="15.75" customHeight="1" x14ac:dyDescent="0.15"/>
    <row r="91" s="2" customFormat="1" ht="15.75" customHeight="1" x14ac:dyDescent="0.15"/>
    <row r="92" s="2" customFormat="1" ht="15.75" customHeight="1" x14ac:dyDescent="0.15"/>
    <row r="93" s="2" customFormat="1" ht="15.75" customHeight="1" x14ac:dyDescent="0.15"/>
    <row r="94" s="2" customFormat="1" ht="15.75" customHeight="1" x14ac:dyDescent="0.15"/>
    <row r="95" s="2" customFormat="1" ht="15.75" customHeight="1" x14ac:dyDescent="0.15"/>
    <row r="96" s="2" customFormat="1" ht="15.75" customHeight="1" x14ac:dyDescent="0.15"/>
    <row r="97" s="2" customFormat="1" ht="15.75" customHeight="1" x14ac:dyDescent="0.15"/>
    <row r="98" s="2" customFormat="1" ht="15.75" customHeight="1" x14ac:dyDescent="0.15"/>
    <row r="99" s="2" customFormat="1" ht="15.75" customHeight="1" x14ac:dyDescent="0.15"/>
    <row r="100" s="2" customFormat="1" ht="15.75" customHeight="1" x14ac:dyDescent="0.15"/>
    <row r="101" s="2" customFormat="1" ht="15.75" customHeight="1" x14ac:dyDescent="0.15"/>
    <row r="102" s="2" customFormat="1" ht="15.75" customHeight="1" x14ac:dyDescent="0.15"/>
    <row r="103" s="2" customFormat="1" ht="15.75" customHeight="1" x14ac:dyDescent="0.15"/>
    <row r="104" s="2" customFormat="1" ht="15.75" customHeight="1" x14ac:dyDescent="0.15"/>
    <row r="105" s="2" customFormat="1" ht="15.75" customHeight="1" x14ac:dyDescent="0.15"/>
    <row r="106" s="2" customFormat="1" ht="15.75" customHeight="1" x14ac:dyDescent="0.15"/>
    <row r="107" s="2" customFormat="1" ht="15.75" customHeight="1" x14ac:dyDescent="0.15"/>
    <row r="108" s="2" customFormat="1" ht="15.75" customHeight="1" x14ac:dyDescent="0.15"/>
    <row r="109" s="2" customFormat="1" ht="15.75" customHeight="1" x14ac:dyDescent="0.15"/>
    <row r="110" s="2" customFormat="1" ht="15.75" customHeight="1" x14ac:dyDescent="0.15"/>
    <row r="111" s="2" customFormat="1" ht="15.75" customHeight="1" x14ac:dyDescent="0.15"/>
    <row r="112" s="2" customFormat="1" ht="15.75" customHeight="1" x14ac:dyDescent="0.15"/>
    <row r="113" s="2" customFormat="1" ht="15.75" customHeight="1" x14ac:dyDescent="0.15"/>
    <row r="114" s="2" customFormat="1" ht="15.75" customHeight="1" x14ac:dyDescent="0.15"/>
    <row r="115" s="2" customFormat="1" ht="15.75" customHeight="1" x14ac:dyDescent="0.15"/>
    <row r="116" s="2" customFormat="1" ht="15.75" customHeight="1" x14ac:dyDescent="0.15"/>
    <row r="117" s="2" customFormat="1" ht="15.75" customHeight="1" x14ac:dyDescent="0.15"/>
    <row r="118" s="2" customFormat="1" ht="15.75" customHeight="1" x14ac:dyDescent="0.15"/>
    <row r="119" s="2" customFormat="1" ht="15.75" customHeight="1" x14ac:dyDescent="0.15"/>
    <row r="120" s="2" customFormat="1" ht="15.75" customHeight="1" x14ac:dyDescent="0.15"/>
    <row r="121" s="2" customFormat="1" ht="15.75" customHeight="1" x14ac:dyDescent="0.15"/>
    <row r="122" s="2" customFormat="1" ht="15.75" customHeight="1" x14ac:dyDescent="0.15"/>
    <row r="123" s="2" customFormat="1" ht="15.75" customHeight="1" x14ac:dyDescent="0.15"/>
    <row r="124" s="2" customFormat="1" ht="15.75" customHeight="1" x14ac:dyDescent="0.15"/>
    <row r="125" s="2" customFormat="1" ht="15.75" customHeight="1" x14ac:dyDescent="0.15"/>
    <row r="126" s="2" customFormat="1" ht="15.75" customHeight="1" x14ac:dyDescent="0.15"/>
    <row r="127" s="2" customFormat="1" ht="15.75" customHeight="1" x14ac:dyDescent="0.15"/>
    <row r="128" s="2" customFormat="1" ht="15.75" customHeight="1" x14ac:dyDescent="0.15"/>
    <row r="129" s="2" customFormat="1" ht="15.75" customHeight="1" x14ac:dyDescent="0.15"/>
    <row r="130" s="2" customFormat="1" ht="15.75" customHeight="1" x14ac:dyDescent="0.15"/>
    <row r="131" s="2" customFormat="1" ht="15.75" customHeight="1" x14ac:dyDescent="0.15"/>
    <row r="132" s="2" customFormat="1" ht="15.75" customHeight="1" x14ac:dyDescent="0.15"/>
    <row r="133" s="2" customFormat="1" ht="15.75" customHeight="1" x14ac:dyDescent="0.15"/>
    <row r="134" s="2" customFormat="1" ht="15.75" customHeight="1" x14ac:dyDescent="0.15"/>
    <row r="135" s="2" customFormat="1" ht="15.75" customHeight="1" x14ac:dyDescent="0.15"/>
    <row r="136" s="2" customFormat="1" ht="15.75" customHeight="1" x14ac:dyDescent="0.15"/>
    <row r="137" s="2" customFormat="1" ht="15.75" customHeight="1" x14ac:dyDescent="0.15"/>
    <row r="138" s="2" customFormat="1" ht="15.75" customHeight="1" x14ac:dyDescent="0.15"/>
    <row r="139" s="2" customFormat="1" ht="15.75" customHeight="1" x14ac:dyDescent="0.15"/>
    <row r="140" s="2" customFormat="1" ht="15.75" customHeight="1" x14ac:dyDescent="0.15"/>
    <row r="141" s="2" customFormat="1" ht="15.75" customHeight="1" x14ac:dyDescent="0.15"/>
    <row r="142" s="2" customFormat="1" ht="15.75" customHeight="1" x14ac:dyDescent="0.15"/>
    <row r="143" s="2" customFormat="1" ht="15.75" customHeight="1" x14ac:dyDescent="0.15"/>
    <row r="144" s="2" customFormat="1" ht="15.75" customHeight="1" x14ac:dyDescent="0.15"/>
    <row r="145" s="2" customFormat="1" ht="15.75" customHeight="1" x14ac:dyDescent="0.15"/>
    <row r="146" s="2" customFormat="1" ht="15.75" customHeight="1" x14ac:dyDescent="0.15"/>
    <row r="147" s="2" customFormat="1" ht="15.75" customHeight="1" x14ac:dyDescent="0.15"/>
    <row r="148" s="2" customFormat="1" ht="15.75" customHeight="1" x14ac:dyDescent="0.15"/>
    <row r="149" s="2" customFormat="1" ht="15.75" customHeight="1" x14ac:dyDescent="0.15"/>
    <row r="150" s="2" customFormat="1" ht="15.75" customHeight="1" x14ac:dyDescent="0.15"/>
    <row r="151" s="2" customFormat="1" ht="15.75" customHeight="1" x14ac:dyDescent="0.15"/>
    <row r="152" s="2" customFormat="1" ht="15.75" customHeight="1" x14ac:dyDescent="0.15"/>
    <row r="153" s="2" customFormat="1" ht="15.75" customHeight="1" x14ac:dyDescent="0.15"/>
    <row r="154" s="2" customFormat="1" ht="15.75" customHeight="1" x14ac:dyDescent="0.15"/>
    <row r="155" s="2" customFormat="1" ht="15.75" customHeight="1" x14ac:dyDescent="0.15"/>
    <row r="156" s="2" customFormat="1" ht="15.75" customHeight="1" x14ac:dyDescent="0.15"/>
    <row r="157" s="2" customFormat="1" ht="15.75" customHeight="1" x14ac:dyDescent="0.15"/>
    <row r="158" s="2" customFormat="1" ht="15.75" customHeight="1" x14ac:dyDescent="0.15"/>
    <row r="159" s="2" customFormat="1" ht="15.75" customHeight="1" x14ac:dyDescent="0.15"/>
    <row r="160" s="2" customFormat="1" ht="15.75" customHeight="1" x14ac:dyDescent="0.15"/>
    <row r="161" s="2" customFormat="1" ht="15.75" customHeight="1" x14ac:dyDescent="0.15"/>
    <row r="162" s="2" customFormat="1" ht="15.75" customHeight="1" x14ac:dyDescent="0.15"/>
    <row r="163" s="2" customFormat="1" ht="15.75" customHeight="1" x14ac:dyDescent="0.15"/>
    <row r="164" s="2" customFormat="1" ht="15.75" customHeight="1" x14ac:dyDescent="0.15"/>
    <row r="165" s="2" customFormat="1" ht="15.75" customHeight="1" x14ac:dyDescent="0.15"/>
    <row r="166" s="2" customFormat="1" ht="15.75" customHeight="1" x14ac:dyDescent="0.15"/>
    <row r="167" s="2" customFormat="1" ht="15.75" customHeight="1" x14ac:dyDescent="0.15"/>
    <row r="168" s="2" customFormat="1" ht="15.75" customHeight="1" x14ac:dyDescent="0.15"/>
    <row r="169" s="2" customFormat="1" ht="15.75" customHeight="1" x14ac:dyDescent="0.15"/>
    <row r="170" s="2" customFormat="1" ht="15.75" customHeight="1" x14ac:dyDescent="0.15"/>
    <row r="171" s="2" customFormat="1" ht="15.75" customHeight="1" x14ac:dyDescent="0.15"/>
    <row r="172" s="2" customFormat="1" ht="15.75" customHeight="1" x14ac:dyDescent="0.15"/>
    <row r="173" s="2" customFormat="1" ht="15.75" customHeight="1" x14ac:dyDescent="0.15"/>
    <row r="174" s="2" customFormat="1" ht="15.75" customHeight="1" x14ac:dyDescent="0.15"/>
    <row r="175" s="2" customFormat="1" ht="15.75" customHeight="1" x14ac:dyDescent="0.15"/>
    <row r="176" s="2" customFormat="1" ht="15.75" customHeight="1" x14ac:dyDescent="0.15"/>
    <row r="177" s="2" customFormat="1" ht="15.75" customHeight="1" x14ac:dyDescent="0.15"/>
    <row r="178" s="2" customFormat="1" ht="15.75" customHeight="1" x14ac:dyDescent="0.15"/>
    <row r="179" s="2" customFormat="1" ht="15.75" customHeight="1" x14ac:dyDescent="0.15"/>
    <row r="180" s="2" customFormat="1" ht="15.75" customHeight="1" x14ac:dyDescent="0.15"/>
    <row r="181" s="2" customFormat="1" ht="15.75" customHeight="1" x14ac:dyDescent="0.15"/>
    <row r="182" s="2" customFormat="1" ht="15.75" customHeight="1" x14ac:dyDescent="0.15"/>
    <row r="183" s="2" customFormat="1" ht="15.75" customHeight="1" x14ac:dyDescent="0.15"/>
    <row r="184" s="2" customFormat="1" ht="15.75" customHeight="1" x14ac:dyDescent="0.15"/>
    <row r="185" s="2" customFormat="1" ht="15.75" customHeight="1" x14ac:dyDescent="0.15"/>
    <row r="186" s="2" customFormat="1" ht="15.75" customHeight="1" x14ac:dyDescent="0.15"/>
    <row r="187" s="2" customFormat="1" ht="15.75" customHeight="1" x14ac:dyDescent="0.15"/>
    <row r="188" s="2" customFormat="1" ht="15.75" customHeight="1" x14ac:dyDescent="0.15"/>
    <row r="189" s="2" customFormat="1" ht="15.75" customHeight="1" x14ac:dyDescent="0.15"/>
    <row r="190" s="2" customFormat="1" ht="15.75" customHeight="1" x14ac:dyDescent="0.15"/>
    <row r="191" s="2" customFormat="1" ht="15.75" customHeight="1" x14ac:dyDescent="0.15"/>
    <row r="192" s="2" customFormat="1" ht="15.75" customHeight="1" x14ac:dyDescent="0.15"/>
    <row r="193" s="2" customFormat="1" ht="15.75" customHeight="1" x14ac:dyDescent="0.15"/>
    <row r="194" s="2" customFormat="1" ht="15.75" customHeight="1" x14ac:dyDescent="0.15"/>
    <row r="195" s="2" customFormat="1" ht="15.75" customHeight="1" x14ac:dyDescent="0.15"/>
    <row r="196" s="2" customFormat="1" ht="15.75" customHeight="1" x14ac:dyDescent="0.15"/>
    <row r="197" s="2" customFormat="1" ht="15.75" customHeight="1" x14ac:dyDescent="0.15"/>
    <row r="198" s="2" customFormat="1" ht="15.75" customHeight="1" x14ac:dyDescent="0.15"/>
    <row r="199" s="2" customFormat="1" ht="15.75" customHeight="1" x14ac:dyDescent="0.15"/>
    <row r="200" s="2" customFormat="1" ht="15.75" customHeight="1" x14ac:dyDescent="0.15"/>
    <row r="201" s="2" customFormat="1" ht="15.75" customHeight="1" x14ac:dyDescent="0.15"/>
    <row r="202" s="2" customFormat="1" ht="15.75" customHeight="1" x14ac:dyDescent="0.15"/>
    <row r="203" s="2" customFormat="1" ht="15.75" customHeight="1" x14ac:dyDescent="0.15"/>
    <row r="204" s="2" customFormat="1" ht="15.75" customHeight="1" x14ac:dyDescent="0.15"/>
    <row r="205" s="2" customFormat="1" ht="15.75" customHeight="1" x14ac:dyDescent="0.15"/>
    <row r="206" s="2" customFormat="1" ht="15.75" customHeight="1" x14ac:dyDescent="0.15"/>
    <row r="207" s="2" customFormat="1" ht="15.75" customHeight="1" x14ac:dyDescent="0.15"/>
    <row r="208" s="2" customFormat="1" ht="15.75" customHeight="1" x14ac:dyDescent="0.15"/>
    <row r="209" s="2" customFormat="1" ht="15.75" customHeight="1" x14ac:dyDescent="0.15"/>
    <row r="210" s="2" customFormat="1" ht="15.75" customHeight="1" x14ac:dyDescent="0.15"/>
    <row r="211" s="2" customFormat="1" ht="15.75" customHeight="1" x14ac:dyDescent="0.15"/>
    <row r="212" s="2" customFormat="1" ht="15.75" customHeight="1" x14ac:dyDescent="0.15"/>
    <row r="213" s="2" customFormat="1" ht="15.75" customHeight="1" x14ac:dyDescent="0.15"/>
    <row r="214" s="2" customFormat="1" ht="15.75" customHeight="1" x14ac:dyDescent="0.15"/>
    <row r="215" s="2" customFormat="1" ht="15.75" customHeight="1" x14ac:dyDescent="0.15"/>
    <row r="216" s="2" customFormat="1" ht="15.75" customHeight="1" x14ac:dyDescent="0.15"/>
    <row r="217" s="2" customFormat="1" ht="15.75" customHeight="1" x14ac:dyDescent="0.15"/>
    <row r="218" s="2" customFormat="1" ht="15.75" customHeight="1" x14ac:dyDescent="0.15"/>
    <row r="219" s="2" customFormat="1" ht="15.75" customHeight="1" x14ac:dyDescent="0.15"/>
    <row r="220" s="2" customFormat="1" ht="15.75" customHeight="1" x14ac:dyDescent="0.15"/>
    <row r="221" s="2" customFormat="1" ht="15.75" customHeight="1" x14ac:dyDescent="0.15"/>
    <row r="222" s="2" customFormat="1" ht="15.75" customHeight="1" x14ac:dyDescent="0.15"/>
    <row r="223" s="2" customFormat="1" ht="15.75" customHeight="1" x14ac:dyDescent="0.15"/>
    <row r="224" s="2" customFormat="1" ht="15.75" customHeight="1" x14ac:dyDescent="0.15"/>
    <row r="225" s="2" customFormat="1" ht="15.75" customHeight="1" x14ac:dyDescent="0.15"/>
    <row r="226" s="2" customFormat="1" ht="15.75" customHeight="1" x14ac:dyDescent="0.15"/>
    <row r="227" s="2" customFormat="1" ht="15.75" customHeight="1" x14ac:dyDescent="0.15"/>
    <row r="228" s="2" customFormat="1" ht="15.75" customHeight="1" x14ac:dyDescent="0.15"/>
    <row r="229" s="2" customFormat="1" ht="15.75" customHeight="1" x14ac:dyDescent="0.15"/>
    <row r="230" s="2" customFormat="1" ht="15.75" customHeight="1" x14ac:dyDescent="0.15"/>
    <row r="231" s="2" customFormat="1" ht="15.75" customHeight="1" x14ac:dyDescent="0.15"/>
    <row r="232" s="2" customFormat="1" ht="15.75" customHeight="1" x14ac:dyDescent="0.15"/>
    <row r="233" s="2" customFormat="1" ht="15.75" customHeight="1" x14ac:dyDescent="0.15"/>
    <row r="234" s="2" customFormat="1" ht="15.75" customHeight="1" x14ac:dyDescent="0.15"/>
    <row r="235" s="2" customFormat="1" ht="15.75" customHeight="1" x14ac:dyDescent="0.15"/>
    <row r="236" s="2" customFormat="1" ht="15.75" customHeight="1" x14ac:dyDescent="0.15"/>
    <row r="237" s="2" customFormat="1" ht="15.75" customHeight="1" x14ac:dyDescent="0.15"/>
    <row r="238" s="2" customFormat="1" ht="15.75" customHeight="1" x14ac:dyDescent="0.15"/>
    <row r="239" s="2" customFormat="1" ht="15.75" customHeight="1" x14ac:dyDescent="0.15"/>
    <row r="240" s="2" customFormat="1" ht="15.75" customHeight="1" x14ac:dyDescent="0.15"/>
    <row r="241" s="2" customFormat="1" ht="15.75" customHeight="1" x14ac:dyDescent="0.15"/>
    <row r="242" s="2" customFormat="1" ht="15.75" customHeight="1" x14ac:dyDescent="0.15"/>
    <row r="243" s="2" customFormat="1" ht="15.75" customHeight="1" x14ac:dyDescent="0.15"/>
    <row r="244" s="2" customFormat="1" ht="15.75" customHeight="1" x14ac:dyDescent="0.15"/>
    <row r="245" s="2" customFormat="1" ht="15.75" customHeight="1" x14ac:dyDescent="0.15"/>
    <row r="246" s="2" customFormat="1" ht="15.75" customHeight="1" x14ac:dyDescent="0.15"/>
    <row r="247" s="2" customFormat="1" ht="15.75" customHeight="1" x14ac:dyDescent="0.15"/>
    <row r="248" s="2" customFormat="1" ht="15.75" customHeight="1" x14ac:dyDescent="0.15"/>
    <row r="249" s="2" customFormat="1" ht="15.75" customHeight="1" x14ac:dyDescent="0.15"/>
    <row r="250" s="2" customFormat="1" ht="15.75" customHeight="1" x14ac:dyDescent="0.15"/>
    <row r="251" s="2" customFormat="1" ht="15.75" customHeight="1" x14ac:dyDescent="0.15"/>
    <row r="252" s="2" customFormat="1" ht="15.75" customHeight="1" x14ac:dyDescent="0.15"/>
    <row r="253" s="2" customFormat="1" ht="15.75" customHeight="1" x14ac:dyDescent="0.15"/>
    <row r="254" s="2" customFormat="1" ht="15.75" customHeight="1" x14ac:dyDescent="0.15"/>
    <row r="255" s="2" customFormat="1" ht="15.75" customHeight="1" x14ac:dyDescent="0.15"/>
    <row r="256" s="2" customFormat="1" ht="15.75" customHeight="1" x14ac:dyDescent="0.15"/>
    <row r="257" s="2" customFormat="1" ht="15.75" customHeight="1" x14ac:dyDescent="0.15"/>
    <row r="258" s="2" customFormat="1" ht="15.75" customHeight="1" x14ac:dyDescent="0.15"/>
    <row r="259" s="2" customFormat="1" ht="15.75" customHeight="1" x14ac:dyDescent="0.15"/>
    <row r="260" s="2" customFormat="1" ht="15.75" customHeight="1" x14ac:dyDescent="0.15"/>
    <row r="261" s="2" customFormat="1" ht="15.75" customHeight="1" x14ac:dyDescent="0.15"/>
    <row r="262" s="2" customFormat="1" ht="15.75" customHeight="1" x14ac:dyDescent="0.15"/>
    <row r="263" s="2" customFormat="1" ht="15.75" customHeight="1" x14ac:dyDescent="0.15"/>
    <row r="264" s="2" customFormat="1" ht="15.75" customHeight="1" x14ac:dyDescent="0.15"/>
    <row r="265" s="2" customFormat="1" ht="15.75" customHeight="1" x14ac:dyDescent="0.15"/>
    <row r="266" s="2" customFormat="1" ht="15.75" customHeight="1" x14ac:dyDescent="0.15"/>
    <row r="267" s="2" customFormat="1" ht="15.75" customHeight="1" x14ac:dyDescent="0.15"/>
    <row r="268" s="2" customFormat="1" ht="15.75" customHeight="1" x14ac:dyDescent="0.15"/>
    <row r="269" s="2" customFormat="1" ht="15.75" customHeight="1" x14ac:dyDescent="0.15"/>
    <row r="270" s="2" customFormat="1" ht="15.75" customHeight="1" x14ac:dyDescent="0.15"/>
    <row r="271" s="2" customFormat="1" ht="15.75" customHeight="1" x14ac:dyDescent="0.15"/>
    <row r="272" s="2" customFormat="1" ht="15.75" customHeight="1" x14ac:dyDescent="0.15"/>
    <row r="273" s="2" customFormat="1" ht="15.75" customHeight="1" x14ac:dyDescent="0.15"/>
    <row r="274" s="2" customFormat="1" ht="15.75" customHeight="1" x14ac:dyDescent="0.15"/>
    <row r="275" s="2" customFormat="1" ht="15.75" customHeight="1" x14ac:dyDescent="0.15"/>
    <row r="276" s="2" customFormat="1" ht="15.75" customHeight="1" x14ac:dyDescent="0.15"/>
    <row r="277" s="2" customFormat="1" ht="15.75" customHeight="1" x14ac:dyDescent="0.15"/>
    <row r="278" s="2" customFormat="1" ht="15.75" customHeight="1" x14ac:dyDescent="0.15"/>
    <row r="279" s="2" customFormat="1" ht="15.75" customHeight="1" x14ac:dyDescent="0.15"/>
    <row r="280" s="2" customFormat="1" ht="15.75" customHeight="1" x14ac:dyDescent="0.15"/>
    <row r="281" s="2" customFormat="1" ht="15.75" customHeight="1" x14ac:dyDescent="0.15"/>
    <row r="282" s="2" customFormat="1" ht="15.75" customHeight="1" x14ac:dyDescent="0.15"/>
    <row r="283" s="2" customFormat="1" ht="15.75" customHeight="1" x14ac:dyDescent="0.15"/>
    <row r="284" s="2" customFormat="1" ht="15.75" customHeight="1" x14ac:dyDescent="0.15"/>
    <row r="285" s="2" customFormat="1" ht="15.75" customHeight="1" x14ac:dyDescent="0.15"/>
    <row r="286" s="2" customFormat="1" ht="15.75" customHeight="1" x14ac:dyDescent="0.15"/>
    <row r="287" s="2" customFormat="1" ht="15.75" customHeight="1" x14ac:dyDescent="0.15"/>
    <row r="288" s="2" customFormat="1" ht="15.75" customHeight="1" x14ac:dyDescent="0.15"/>
    <row r="289" s="2" customFormat="1" ht="15.75" customHeight="1" x14ac:dyDescent="0.15"/>
    <row r="290" s="2" customFormat="1" ht="15.75" customHeight="1" x14ac:dyDescent="0.15"/>
    <row r="291" s="2" customFormat="1" ht="15.75" customHeight="1" x14ac:dyDescent="0.15"/>
    <row r="292" s="2" customFormat="1" ht="15.75" customHeight="1" x14ac:dyDescent="0.15"/>
    <row r="293" s="2" customFormat="1" ht="15.75" customHeight="1" x14ac:dyDescent="0.15"/>
    <row r="294" s="2" customFormat="1" ht="15.75" customHeight="1" x14ac:dyDescent="0.15"/>
    <row r="295" s="2" customFormat="1" ht="15.75" customHeight="1" x14ac:dyDescent="0.15"/>
    <row r="296" s="2" customFormat="1" ht="15.75" customHeight="1" x14ac:dyDescent="0.15"/>
    <row r="297" s="2" customFormat="1" ht="15.75" customHeight="1" x14ac:dyDescent="0.15"/>
    <row r="298" s="2" customFormat="1" ht="15.75" customHeight="1" x14ac:dyDescent="0.15"/>
    <row r="299" s="2" customFormat="1" ht="15.75" customHeight="1" x14ac:dyDescent="0.15"/>
    <row r="300" s="2" customFormat="1" ht="15.75" customHeight="1" x14ac:dyDescent="0.15"/>
    <row r="301" s="2" customFormat="1" ht="15.75" customHeight="1" x14ac:dyDescent="0.15"/>
    <row r="302" s="2" customFormat="1" ht="15.75" customHeight="1" x14ac:dyDescent="0.15"/>
    <row r="303" s="2" customFormat="1" ht="15.75" customHeight="1" x14ac:dyDescent="0.15"/>
    <row r="304" s="2" customFormat="1" ht="15.75" customHeight="1" x14ac:dyDescent="0.15"/>
    <row r="305" s="2" customFormat="1" ht="15.75" customHeight="1" x14ac:dyDescent="0.15"/>
    <row r="306" s="2" customFormat="1" ht="15.75" customHeight="1" x14ac:dyDescent="0.15"/>
    <row r="307" s="2" customFormat="1" ht="15.75" customHeight="1" x14ac:dyDescent="0.15"/>
    <row r="308" s="2" customFormat="1" ht="15.75" customHeight="1" x14ac:dyDescent="0.15"/>
    <row r="309" s="2" customFormat="1" ht="15.75" customHeight="1" x14ac:dyDescent="0.15"/>
    <row r="310" s="2" customFormat="1" ht="15.75" customHeight="1" x14ac:dyDescent="0.15"/>
    <row r="311" s="2" customFormat="1" ht="15.75" customHeight="1" x14ac:dyDescent="0.15"/>
    <row r="312" s="2" customFormat="1" ht="15.75" customHeight="1" x14ac:dyDescent="0.15"/>
    <row r="313" s="2" customFormat="1" ht="15.75" customHeight="1" x14ac:dyDescent="0.15"/>
    <row r="314" s="2" customFormat="1" ht="15.75" customHeight="1" x14ac:dyDescent="0.15"/>
    <row r="315" s="2" customFormat="1" ht="15.75" customHeight="1" x14ac:dyDescent="0.15"/>
    <row r="316" s="2" customFormat="1" ht="15.75" customHeight="1" x14ac:dyDescent="0.15"/>
    <row r="317" s="2" customFormat="1" ht="15.75" customHeight="1" x14ac:dyDescent="0.15"/>
    <row r="318" s="2" customFormat="1" ht="15.75" customHeight="1" x14ac:dyDescent="0.15"/>
    <row r="319" s="2" customFormat="1" ht="15.75" customHeight="1" x14ac:dyDescent="0.15"/>
    <row r="320" s="2" customFormat="1" ht="15.75" customHeight="1" x14ac:dyDescent="0.15"/>
    <row r="321" s="2" customFormat="1" ht="15.75" customHeight="1" x14ac:dyDescent="0.15"/>
    <row r="322" s="2" customFormat="1" ht="15.75" customHeight="1" x14ac:dyDescent="0.15"/>
    <row r="323" s="2" customFormat="1" ht="15.75" customHeight="1" x14ac:dyDescent="0.15"/>
    <row r="324" s="2" customFormat="1" ht="15.75" customHeight="1" x14ac:dyDescent="0.15"/>
    <row r="325" s="2" customFormat="1" ht="15.75" customHeight="1" x14ac:dyDescent="0.15"/>
    <row r="326" s="2" customFormat="1" ht="15.75" customHeight="1" x14ac:dyDescent="0.15"/>
    <row r="327" s="2" customFormat="1" ht="15.75" customHeight="1" x14ac:dyDescent="0.15"/>
    <row r="328" s="2" customFormat="1" ht="15.75" customHeight="1" x14ac:dyDescent="0.15"/>
    <row r="329" s="2" customFormat="1" ht="15.75" customHeight="1" x14ac:dyDescent="0.15"/>
    <row r="330" s="2" customFormat="1" ht="15.75" customHeight="1" x14ac:dyDescent="0.15"/>
    <row r="331" s="2" customFormat="1" ht="15.75" customHeight="1" x14ac:dyDescent="0.15"/>
    <row r="332" s="2" customFormat="1" ht="15.75" customHeight="1" x14ac:dyDescent="0.15"/>
    <row r="333" s="2" customFormat="1" ht="15.75" customHeight="1" x14ac:dyDescent="0.15"/>
    <row r="334" s="2" customFormat="1" ht="15.75" customHeight="1" x14ac:dyDescent="0.15"/>
    <row r="335" s="2" customFormat="1" ht="15.75" customHeight="1" x14ac:dyDescent="0.15"/>
    <row r="336" s="2" customFormat="1" ht="15.75" customHeight="1" x14ac:dyDescent="0.15"/>
    <row r="337" s="2" customFormat="1" ht="15.75" customHeight="1" x14ac:dyDescent="0.15"/>
    <row r="338" s="2" customFormat="1" ht="15.75" customHeight="1" x14ac:dyDescent="0.15"/>
    <row r="339" s="2" customFormat="1" ht="15.75" customHeight="1" x14ac:dyDescent="0.15"/>
    <row r="340" s="2" customFormat="1" ht="15.75" customHeight="1" x14ac:dyDescent="0.15"/>
    <row r="341" s="2" customFormat="1" ht="15.75" customHeight="1" x14ac:dyDescent="0.15"/>
    <row r="342" s="2" customFormat="1" ht="15.75" customHeight="1" x14ac:dyDescent="0.15"/>
    <row r="343" s="2" customFormat="1" ht="15.75" customHeight="1" x14ac:dyDescent="0.15"/>
    <row r="344" s="2" customFormat="1" ht="15.75" customHeight="1" x14ac:dyDescent="0.15"/>
    <row r="345" s="2" customFormat="1" ht="15.75" customHeight="1" x14ac:dyDescent="0.15"/>
    <row r="346" s="2" customFormat="1" ht="15.75" customHeight="1" x14ac:dyDescent="0.15"/>
    <row r="347" s="2" customFormat="1" ht="15.75" customHeight="1" x14ac:dyDescent="0.15"/>
    <row r="348" s="2" customFormat="1" ht="15.75" customHeight="1" x14ac:dyDescent="0.15"/>
    <row r="349" s="2" customFormat="1" ht="15.75" customHeight="1" x14ac:dyDescent="0.15"/>
    <row r="350" s="2" customFormat="1" ht="15.75" customHeight="1" x14ac:dyDescent="0.15"/>
    <row r="351" s="2" customFormat="1" ht="15.75" customHeight="1" x14ac:dyDescent="0.15"/>
    <row r="352" s="2" customFormat="1" ht="15.75" customHeight="1" x14ac:dyDescent="0.15"/>
    <row r="353" s="2" customFormat="1" ht="15.75" customHeight="1" x14ac:dyDescent="0.15"/>
    <row r="354" s="2" customFormat="1" ht="15.75" customHeight="1" x14ac:dyDescent="0.15"/>
    <row r="355" s="2" customFormat="1" ht="15.75" customHeight="1" x14ac:dyDescent="0.15"/>
    <row r="356" s="2" customFormat="1" ht="15.75" customHeight="1" x14ac:dyDescent="0.15"/>
    <row r="357" s="2" customFormat="1" ht="15.75" customHeight="1" x14ac:dyDescent="0.15"/>
    <row r="358" s="2" customFormat="1" ht="15.75" customHeight="1" x14ac:dyDescent="0.15"/>
    <row r="359" s="2" customFormat="1" ht="15.75" customHeight="1" x14ac:dyDescent="0.15"/>
    <row r="360" s="2" customFormat="1" ht="15.75" customHeight="1" x14ac:dyDescent="0.15"/>
    <row r="361" s="2" customFormat="1" ht="15.75" customHeight="1" x14ac:dyDescent="0.15"/>
    <row r="362" s="2" customFormat="1" ht="15.75" customHeight="1" x14ac:dyDescent="0.15"/>
    <row r="363" s="2" customFormat="1" ht="15.75" customHeight="1" x14ac:dyDescent="0.15"/>
    <row r="364" s="2" customFormat="1" ht="15.75" customHeight="1" x14ac:dyDescent="0.15"/>
    <row r="365" s="2" customFormat="1" ht="15.75" customHeight="1" x14ac:dyDescent="0.15"/>
    <row r="366" s="2" customFormat="1" ht="15.75" customHeight="1" x14ac:dyDescent="0.15"/>
    <row r="367" s="2" customFormat="1" ht="15.75" customHeight="1" x14ac:dyDescent="0.15"/>
    <row r="368" s="2" customFormat="1" ht="15.75" customHeight="1" x14ac:dyDescent="0.15"/>
    <row r="369" s="2" customFormat="1" ht="15.75" customHeight="1" x14ac:dyDescent="0.15"/>
    <row r="370" s="2" customFormat="1" ht="15.75" customHeight="1" x14ac:dyDescent="0.15"/>
    <row r="371" s="2" customFormat="1" ht="15.75" customHeight="1" x14ac:dyDescent="0.15"/>
    <row r="372" s="2" customFormat="1" ht="15.75" customHeight="1" x14ac:dyDescent="0.15"/>
    <row r="373" s="2" customFormat="1" ht="15.75" customHeight="1" x14ac:dyDescent="0.15"/>
    <row r="374" s="2" customFormat="1" ht="15.75" customHeight="1" x14ac:dyDescent="0.15"/>
    <row r="375" s="2" customFormat="1" ht="15.75" customHeight="1" x14ac:dyDescent="0.15"/>
    <row r="376" s="2" customFormat="1" ht="15.75" customHeight="1" x14ac:dyDescent="0.15"/>
    <row r="377" s="2" customFormat="1" ht="15.75" customHeight="1" x14ac:dyDescent="0.15"/>
    <row r="378" s="2" customFormat="1" ht="15.75" customHeight="1" x14ac:dyDescent="0.15"/>
    <row r="379" s="2" customFormat="1" ht="15.75" customHeight="1" x14ac:dyDescent="0.15"/>
    <row r="380" s="2" customFormat="1" ht="15.75" customHeight="1" x14ac:dyDescent="0.15"/>
    <row r="381" s="2" customFormat="1" ht="15.75" customHeight="1" x14ac:dyDescent="0.15"/>
    <row r="382" s="2" customFormat="1" ht="15.75" customHeight="1" x14ac:dyDescent="0.15"/>
    <row r="383" s="2" customFormat="1" ht="15.75" customHeight="1" x14ac:dyDescent="0.15"/>
    <row r="384" s="2" customFormat="1" ht="15.75" customHeight="1" x14ac:dyDescent="0.15"/>
    <row r="385" s="2" customFormat="1" ht="15.75" customHeight="1" x14ac:dyDescent="0.15"/>
    <row r="386" s="2" customFormat="1" ht="15.75" customHeight="1" x14ac:dyDescent="0.15"/>
    <row r="387" s="2" customFormat="1" ht="15.75" customHeight="1" x14ac:dyDescent="0.15"/>
    <row r="388" s="2" customFormat="1" ht="15.75" customHeight="1" x14ac:dyDescent="0.15"/>
    <row r="389" s="2" customFormat="1" ht="15.75" customHeight="1" x14ac:dyDescent="0.15"/>
    <row r="390" s="2" customFormat="1" ht="15.75" customHeight="1" x14ac:dyDescent="0.15"/>
    <row r="391" s="2" customFormat="1" ht="15.75" customHeight="1" x14ac:dyDescent="0.15"/>
    <row r="392" s="2" customFormat="1" ht="15.75" customHeight="1" x14ac:dyDescent="0.15"/>
    <row r="393" s="2" customFormat="1" ht="15.75" customHeight="1" x14ac:dyDescent="0.15"/>
    <row r="394" s="2" customFormat="1" ht="15.75" customHeight="1" x14ac:dyDescent="0.15"/>
    <row r="395" s="2" customFormat="1" ht="15.75" customHeight="1" x14ac:dyDescent="0.15"/>
    <row r="396" s="2" customFormat="1" ht="15.75" customHeight="1" x14ac:dyDescent="0.15"/>
    <row r="397" s="2" customFormat="1" ht="15.75" customHeight="1" x14ac:dyDescent="0.15"/>
    <row r="398" s="2" customFormat="1" ht="15.75" customHeight="1" x14ac:dyDescent="0.15"/>
    <row r="399" s="2" customFormat="1" ht="15.75" customHeight="1" x14ac:dyDescent="0.15"/>
    <row r="400" s="2" customFormat="1" ht="15.75" customHeight="1" x14ac:dyDescent="0.15"/>
    <row r="401" s="2" customFormat="1" ht="15.75" customHeight="1" x14ac:dyDescent="0.15"/>
    <row r="402" s="2" customFormat="1" ht="15.75" customHeight="1" x14ac:dyDescent="0.15"/>
    <row r="403" s="2" customFormat="1" ht="15.75" customHeight="1" x14ac:dyDescent="0.15"/>
    <row r="404" s="2" customFormat="1" ht="15.75" customHeight="1" x14ac:dyDescent="0.15"/>
    <row r="405" s="2" customFormat="1" ht="15.75" customHeight="1" x14ac:dyDescent="0.15"/>
    <row r="406" s="2" customFormat="1" ht="15.75" customHeight="1" x14ac:dyDescent="0.15"/>
    <row r="407" s="2" customFormat="1" ht="15.75" customHeight="1" x14ac:dyDescent="0.15"/>
    <row r="408" s="2" customFormat="1" ht="15.75" customHeight="1" x14ac:dyDescent="0.15"/>
    <row r="409" s="2" customFormat="1" ht="15.75" customHeight="1" x14ac:dyDescent="0.15"/>
    <row r="410" s="2" customFormat="1" ht="15.75" customHeight="1" x14ac:dyDescent="0.15"/>
    <row r="411" s="2" customFormat="1" ht="15.75" customHeight="1" x14ac:dyDescent="0.15"/>
    <row r="412" s="2" customFormat="1" ht="15.75" customHeight="1" x14ac:dyDescent="0.15"/>
    <row r="413" s="2" customFormat="1" ht="15.75" customHeight="1" x14ac:dyDescent="0.15"/>
    <row r="414" s="2" customFormat="1" ht="15.75" customHeight="1" x14ac:dyDescent="0.15"/>
    <row r="415" s="2" customFormat="1" ht="15.75" customHeight="1" x14ac:dyDescent="0.15"/>
    <row r="416" s="2" customFormat="1" ht="15.75" customHeight="1" x14ac:dyDescent="0.15"/>
    <row r="417" s="2" customFormat="1" ht="15.75" customHeight="1" x14ac:dyDescent="0.15"/>
    <row r="418" s="2" customFormat="1" ht="15.75" customHeight="1" x14ac:dyDescent="0.15"/>
    <row r="419" s="2" customFormat="1" ht="15.75" customHeight="1" x14ac:dyDescent="0.15"/>
    <row r="420" s="2" customFormat="1" ht="15.75" customHeight="1" x14ac:dyDescent="0.15"/>
    <row r="421" s="2" customFormat="1" ht="15.75" customHeight="1" x14ac:dyDescent="0.15"/>
    <row r="422" s="2" customFormat="1" ht="15.75" customHeight="1" x14ac:dyDescent="0.15"/>
    <row r="423" s="2" customFormat="1" ht="15.75" customHeight="1" x14ac:dyDescent="0.15"/>
    <row r="424" s="2" customFormat="1" ht="15.75" customHeight="1" x14ac:dyDescent="0.15"/>
    <row r="425" s="2" customFormat="1" ht="15.75" customHeight="1" x14ac:dyDescent="0.15"/>
    <row r="426" s="2" customFormat="1" ht="15.75" customHeight="1" x14ac:dyDescent="0.15"/>
    <row r="427" s="2" customFormat="1" ht="15.75" customHeight="1" x14ac:dyDescent="0.15"/>
    <row r="428" s="2" customFormat="1" ht="15.75" customHeight="1" x14ac:dyDescent="0.15"/>
    <row r="429" s="2" customFormat="1" ht="15.75" customHeight="1" x14ac:dyDescent="0.15"/>
    <row r="430" s="2" customFormat="1" ht="15.75" customHeight="1" x14ac:dyDescent="0.15"/>
    <row r="431" s="2" customFormat="1" ht="15.75" customHeight="1" x14ac:dyDescent="0.15"/>
    <row r="432" s="2" customFormat="1" ht="15.75" customHeight="1" x14ac:dyDescent="0.15"/>
    <row r="433" s="2" customFormat="1" ht="15.75" customHeight="1" x14ac:dyDescent="0.15"/>
    <row r="434" s="2" customFormat="1" ht="15.75" customHeight="1" x14ac:dyDescent="0.15"/>
    <row r="435" s="2" customFormat="1" ht="15.75" customHeight="1" x14ac:dyDescent="0.15"/>
    <row r="436" s="2" customFormat="1" ht="15.75" customHeight="1" x14ac:dyDescent="0.15"/>
    <row r="437" s="2" customFormat="1" ht="15.75" customHeight="1" x14ac:dyDescent="0.15"/>
    <row r="438" s="2" customFormat="1" ht="15.75" customHeight="1" x14ac:dyDescent="0.15"/>
    <row r="439" s="2" customFormat="1" ht="15.75" customHeight="1" x14ac:dyDescent="0.15"/>
    <row r="440" s="2" customFormat="1" ht="15.75" customHeight="1" x14ac:dyDescent="0.15"/>
    <row r="441" s="2" customFormat="1" ht="15.75" customHeight="1" x14ac:dyDescent="0.15"/>
    <row r="442" s="2" customFormat="1" ht="15.75" customHeight="1" x14ac:dyDescent="0.15"/>
    <row r="443" s="2" customFormat="1" ht="15.75" customHeight="1" x14ac:dyDescent="0.15"/>
    <row r="444" s="2" customFormat="1" ht="15.75" customHeight="1" x14ac:dyDescent="0.15"/>
    <row r="445" s="2" customFormat="1" ht="15.75" customHeight="1" x14ac:dyDescent="0.15"/>
    <row r="446" s="2" customFormat="1" ht="15.75" customHeight="1" x14ac:dyDescent="0.15"/>
    <row r="447" s="2" customFormat="1" ht="15.75" customHeight="1" x14ac:dyDescent="0.15"/>
    <row r="448" s="2" customFormat="1" ht="15.75" customHeight="1" x14ac:dyDescent="0.15"/>
    <row r="449" s="2" customFormat="1" ht="15.75" customHeight="1" x14ac:dyDescent="0.15"/>
    <row r="450" s="2" customFormat="1" ht="15.75" customHeight="1" x14ac:dyDescent="0.15"/>
    <row r="451" s="2" customFormat="1" ht="15.75" customHeight="1" x14ac:dyDescent="0.15"/>
    <row r="452" s="2" customFormat="1" ht="15.75" customHeight="1" x14ac:dyDescent="0.15"/>
    <row r="453" s="2" customFormat="1" ht="15.75" customHeight="1" x14ac:dyDescent="0.15"/>
    <row r="454" s="2" customFormat="1" ht="15.75" customHeight="1" x14ac:dyDescent="0.15"/>
    <row r="455" s="2" customFormat="1" ht="15.75" customHeight="1" x14ac:dyDescent="0.15"/>
    <row r="456" s="2" customFormat="1" ht="15.75" customHeight="1" x14ac:dyDescent="0.15"/>
    <row r="457" s="2" customFormat="1" ht="15.75" customHeight="1" x14ac:dyDescent="0.15"/>
    <row r="458" s="2" customFormat="1" ht="15.75" customHeight="1" x14ac:dyDescent="0.15"/>
    <row r="459" s="2" customFormat="1" ht="15.75" customHeight="1" x14ac:dyDescent="0.15"/>
    <row r="460" s="2" customFormat="1" ht="15.75" customHeight="1" x14ac:dyDescent="0.15"/>
    <row r="461" s="2" customFormat="1" ht="15.75" customHeight="1" x14ac:dyDescent="0.15"/>
    <row r="462" s="2" customFormat="1" ht="15.75" customHeight="1" x14ac:dyDescent="0.15"/>
    <row r="463" s="2" customFormat="1" ht="15.75" customHeight="1" x14ac:dyDescent="0.15"/>
    <row r="464" s="2" customFormat="1" ht="15.75" customHeight="1" x14ac:dyDescent="0.15"/>
    <row r="465" s="2" customFormat="1" ht="15.75" customHeight="1" x14ac:dyDescent="0.15"/>
    <row r="466" s="2" customFormat="1" ht="15.75" customHeight="1" x14ac:dyDescent="0.15"/>
    <row r="467" s="2" customFormat="1" ht="15.75" customHeight="1" x14ac:dyDescent="0.15"/>
    <row r="468" s="2" customFormat="1" ht="15.75" customHeight="1" x14ac:dyDescent="0.15"/>
    <row r="469" s="2" customFormat="1" ht="15.75" customHeight="1" x14ac:dyDescent="0.15"/>
    <row r="470" s="2" customFormat="1" ht="15.75" customHeight="1" x14ac:dyDescent="0.15"/>
    <row r="471" s="2" customFormat="1" ht="15.75" customHeight="1" x14ac:dyDescent="0.15"/>
    <row r="472" s="2" customFormat="1" ht="15.75" customHeight="1" x14ac:dyDescent="0.15"/>
    <row r="473" s="2" customFormat="1" ht="15.75" customHeight="1" x14ac:dyDescent="0.15"/>
    <row r="474" s="2" customFormat="1" ht="15.75" customHeight="1" x14ac:dyDescent="0.15"/>
    <row r="475" s="2" customFormat="1" ht="15.75" customHeight="1" x14ac:dyDescent="0.15"/>
    <row r="476" s="2" customFormat="1" ht="15.75" customHeight="1" x14ac:dyDescent="0.15"/>
    <row r="477" s="2" customFormat="1" ht="15.75" customHeight="1" x14ac:dyDescent="0.15"/>
    <row r="478" s="2" customFormat="1" ht="15.75" customHeight="1" x14ac:dyDescent="0.15"/>
    <row r="479" s="2" customFormat="1" ht="15.75" customHeight="1" x14ac:dyDescent="0.15"/>
    <row r="480" s="2" customFormat="1" ht="15.75" customHeight="1" x14ac:dyDescent="0.15"/>
    <row r="481" s="2" customFormat="1" ht="15.75" customHeight="1" x14ac:dyDescent="0.15"/>
    <row r="482" s="2" customFormat="1" ht="15.75" customHeight="1" x14ac:dyDescent="0.15"/>
    <row r="483" s="2" customFormat="1" ht="15.75" customHeight="1" x14ac:dyDescent="0.15"/>
    <row r="484" s="2" customFormat="1" ht="15.75" customHeight="1" x14ac:dyDescent="0.15"/>
    <row r="485" s="2" customFormat="1" ht="15.75" customHeight="1" x14ac:dyDescent="0.15"/>
    <row r="486" s="2" customFormat="1" ht="15.75" customHeight="1" x14ac:dyDescent="0.15"/>
    <row r="487" s="2" customFormat="1" ht="15.75" customHeight="1" x14ac:dyDescent="0.15"/>
    <row r="488" s="2" customFormat="1" ht="15.75" customHeight="1" x14ac:dyDescent="0.15"/>
    <row r="489" s="2" customFormat="1" ht="15.75" customHeight="1" x14ac:dyDescent="0.15"/>
    <row r="490" s="2" customFormat="1" ht="15.75" customHeight="1" x14ac:dyDescent="0.15"/>
    <row r="491" s="2" customFormat="1" ht="15.75" customHeight="1" x14ac:dyDescent="0.15"/>
    <row r="492" s="2" customFormat="1" ht="15.75" customHeight="1" x14ac:dyDescent="0.15"/>
    <row r="493" s="2" customFormat="1" ht="15.75" customHeight="1" x14ac:dyDescent="0.15"/>
    <row r="494" s="2" customFormat="1" ht="15.75" customHeight="1" x14ac:dyDescent="0.15"/>
    <row r="495" s="2" customFormat="1" ht="15.75" customHeight="1" x14ac:dyDescent="0.15"/>
    <row r="496" s="2" customFormat="1" ht="15.75" customHeight="1" x14ac:dyDescent="0.15"/>
    <row r="497" s="2" customFormat="1" ht="15.75" customHeight="1" x14ac:dyDescent="0.15"/>
    <row r="498" s="2" customFormat="1" ht="15.75" customHeight="1" x14ac:dyDescent="0.15"/>
    <row r="499" s="2" customFormat="1" ht="15.75" customHeight="1" x14ac:dyDescent="0.15"/>
    <row r="500" s="2" customFormat="1" ht="15.75" customHeight="1" x14ac:dyDescent="0.15"/>
    <row r="501" s="2" customFormat="1" ht="15.75" customHeight="1" x14ac:dyDescent="0.15"/>
    <row r="502" s="2" customFormat="1" ht="15.75" customHeight="1" x14ac:dyDescent="0.15"/>
    <row r="503" s="2" customFormat="1" ht="15.75" customHeight="1" x14ac:dyDescent="0.15"/>
    <row r="504" s="2" customFormat="1" ht="15.75" customHeight="1" x14ac:dyDescent="0.15"/>
    <row r="505" s="2" customFormat="1" ht="15.75" customHeight="1" x14ac:dyDescent="0.15"/>
    <row r="506" s="2" customFormat="1" ht="15.75" customHeight="1" x14ac:dyDescent="0.15"/>
    <row r="507" s="2" customFormat="1" ht="15.75" customHeight="1" x14ac:dyDescent="0.15"/>
    <row r="508" s="2" customFormat="1" ht="15.75" customHeight="1" x14ac:dyDescent="0.15"/>
    <row r="509" s="2" customFormat="1" ht="15.75" customHeight="1" x14ac:dyDescent="0.15"/>
    <row r="510" s="2" customFormat="1" ht="15.75" customHeight="1" x14ac:dyDescent="0.15"/>
    <row r="511" s="2" customFormat="1" ht="15.75" customHeight="1" x14ac:dyDescent="0.15"/>
    <row r="512" s="2" customFormat="1" ht="15.75" customHeight="1" x14ac:dyDescent="0.15"/>
    <row r="513" s="2" customFormat="1" ht="15.75" customHeight="1" x14ac:dyDescent="0.15"/>
    <row r="514" s="2" customFormat="1" ht="15.75" customHeight="1" x14ac:dyDescent="0.15"/>
    <row r="515" s="2" customFormat="1" ht="15.75" customHeight="1" x14ac:dyDescent="0.15"/>
    <row r="516" s="2" customFormat="1" ht="15.75" customHeight="1" x14ac:dyDescent="0.15"/>
    <row r="517" s="2" customFormat="1" ht="15.75" customHeight="1" x14ac:dyDescent="0.15"/>
    <row r="518" s="2" customFormat="1" ht="15.75" customHeight="1" x14ac:dyDescent="0.15"/>
    <row r="519" s="2" customFormat="1" ht="15.75" customHeight="1" x14ac:dyDescent="0.15"/>
    <row r="520" s="2" customFormat="1" ht="15.75" customHeight="1" x14ac:dyDescent="0.15"/>
    <row r="521" s="2" customFormat="1" ht="15.75" customHeight="1" x14ac:dyDescent="0.15"/>
    <row r="522" s="2" customFormat="1" ht="15.75" customHeight="1" x14ac:dyDescent="0.15"/>
    <row r="523" s="2" customFormat="1" ht="15.75" customHeight="1" x14ac:dyDescent="0.15"/>
    <row r="524" s="2" customFormat="1" ht="15.75" customHeight="1" x14ac:dyDescent="0.15"/>
    <row r="525" s="2" customFormat="1" ht="15.75" customHeight="1" x14ac:dyDescent="0.15"/>
    <row r="526" s="2" customFormat="1" ht="15.75" customHeight="1" x14ac:dyDescent="0.15"/>
    <row r="527" s="2" customFormat="1" ht="15.75" customHeight="1" x14ac:dyDescent="0.15"/>
    <row r="528" s="2" customFormat="1" ht="15.75" customHeight="1" x14ac:dyDescent="0.15"/>
    <row r="529" s="2" customFormat="1" ht="15.75" customHeight="1" x14ac:dyDescent="0.15"/>
    <row r="530" s="2" customFormat="1" ht="15.75" customHeight="1" x14ac:dyDescent="0.15"/>
    <row r="531" s="2" customFormat="1" ht="15.75" customHeight="1" x14ac:dyDescent="0.15"/>
    <row r="532" s="2" customFormat="1" ht="15.75" customHeight="1" x14ac:dyDescent="0.15"/>
    <row r="533" s="2" customFormat="1" ht="15.75" customHeight="1" x14ac:dyDescent="0.15"/>
    <row r="534" s="2" customFormat="1" ht="15.75" customHeight="1" x14ac:dyDescent="0.15"/>
    <row r="535" s="2" customFormat="1" ht="15.75" customHeight="1" x14ac:dyDescent="0.15"/>
    <row r="536" s="2" customFormat="1" ht="15.75" customHeight="1" x14ac:dyDescent="0.15"/>
    <row r="537" s="2" customFormat="1" ht="15.75" customHeight="1" x14ac:dyDescent="0.15"/>
    <row r="538" s="2" customFormat="1" ht="15.75" customHeight="1" x14ac:dyDescent="0.15"/>
    <row r="539" s="2" customFormat="1" ht="15.75" customHeight="1" x14ac:dyDescent="0.15"/>
    <row r="540" s="2" customFormat="1" ht="15.75" customHeight="1" x14ac:dyDescent="0.15"/>
    <row r="541" s="2" customFormat="1" ht="15.75" customHeight="1" x14ac:dyDescent="0.15"/>
    <row r="542" s="2" customFormat="1" ht="15.75" customHeight="1" x14ac:dyDescent="0.15"/>
    <row r="543" s="2" customFormat="1" ht="15.75" customHeight="1" x14ac:dyDescent="0.15"/>
    <row r="544" s="2" customFormat="1" ht="15.75" customHeight="1" x14ac:dyDescent="0.15"/>
    <row r="545" s="2" customFormat="1" ht="15.75" customHeight="1" x14ac:dyDescent="0.15"/>
    <row r="546" s="2" customFormat="1" ht="15.75" customHeight="1" x14ac:dyDescent="0.15"/>
    <row r="547" s="2" customFormat="1" ht="15.75" customHeight="1" x14ac:dyDescent="0.15"/>
    <row r="548" s="2" customFormat="1" ht="15.75" customHeight="1" x14ac:dyDescent="0.15"/>
    <row r="549" s="2" customFormat="1" ht="15.75" customHeight="1" x14ac:dyDescent="0.15"/>
    <row r="550" s="2" customFormat="1" ht="15.75" customHeight="1" x14ac:dyDescent="0.15"/>
    <row r="551" s="2" customFormat="1" ht="15.75" customHeight="1" x14ac:dyDescent="0.15"/>
    <row r="552" s="2" customFormat="1" ht="15.75" customHeight="1" x14ac:dyDescent="0.15"/>
    <row r="553" s="2" customFormat="1" ht="15.75" customHeight="1" x14ac:dyDescent="0.15"/>
    <row r="554" s="2" customFormat="1" ht="15.75" customHeight="1" x14ac:dyDescent="0.15"/>
    <row r="555" s="2" customFormat="1" ht="15.75" customHeight="1" x14ac:dyDescent="0.15"/>
    <row r="556" s="2" customFormat="1" ht="15.75" customHeight="1" x14ac:dyDescent="0.15"/>
    <row r="557" s="2" customFormat="1" ht="15.75" customHeight="1" x14ac:dyDescent="0.15"/>
    <row r="558" s="2" customFormat="1" ht="15.75" customHeight="1" x14ac:dyDescent="0.15"/>
    <row r="559" s="2" customFormat="1" ht="15.75" customHeight="1" x14ac:dyDescent="0.15"/>
    <row r="560" s="2" customFormat="1" ht="15.75" customHeight="1" x14ac:dyDescent="0.15"/>
    <row r="561" s="2" customFormat="1" ht="15.75" customHeight="1" x14ac:dyDescent="0.15"/>
    <row r="562" s="2" customFormat="1" ht="15.75" customHeight="1" x14ac:dyDescent="0.15"/>
    <row r="563" s="2" customFormat="1" ht="15.75" customHeight="1" x14ac:dyDescent="0.15"/>
    <row r="564" s="2" customFormat="1" ht="15.75" customHeight="1" x14ac:dyDescent="0.15"/>
    <row r="565" s="2" customFormat="1" ht="15.75" customHeight="1" x14ac:dyDescent="0.15"/>
    <row r="566" s="2" customFormat="1" ht="15.75" customHeight="1" x14ac:dyDescent="0.15"/>
    <row r="567" s="2" customFormat="1" ht="15.75" customHeight="1" x14ac:dyDescent="0.15"/>
    <row r="568" s="2" customFormat="1" ht="15.75" customHeight="1" x14ac:dyDescent="0.15"/>
    <row r="569" s="2" customFormat="1" ht="15.75" customHeight="1" x14ac:dyDescent="0.15"/>
    <row r="570" s="2" customFormat="1" ht="15.75" customHeight="1" x14ac:dyDescent="0.15"/>
    <row r="571" s="2" customFormat="1" ht="15.75" customHeight="1" x14ac:dyDescent="0.15"/>
    <row r="572" s="2" customFormat="1" ht="15.75" customHeight="1" x14ac:dyDescent="0.15"/>
    <row r="573" s="2" customFormat="1" ht="15.75" customHeight="1" x14ac:dyDescent="0.15"/>
    <row r="574" s="2" customFormat="1" ht="15.75" customHeight="1" x14ac:dyDescent="0.15"/>
    <row r="575" s="2" customFormat="1" ht="15.75" customHeight="1" x14ac:dyDescent="0.15"/>
    <row r="576" s="2" customFormat="1" ht="15.75" customHeight="1" x14ac:dyDescent="0.15"/>
    <row r="577" s="2" customFormat="1" ht="15.75" customHeight="1" x14ac:dyDescent="0.15"/>
    <row r="578" s="2" customFormat="1" ht="15.75" customHeight="1" x14ac:dyDescent="0.15"/>
    <row r="579" s="2" customFormat="1" ht="15.75" customHeight="1" x14ac:dyDescent="0.15"/>
    <row r="580" s="2" customFormat="1" ht="15.75" customHeight="1" x14ac:dyDescent="0.15"/>
    <row r="581" s="2" customFormat="1" ht="15.75" customHeight="1" x14ac:dyDescent="0.15"/>
    <row r="582" s="2" customFormat="1" ht="15.75" customHeight="1" x14ac:dyDescent="0.15"/>
    <row r="583" s="2" customFormat="1" ht="15.75" customHeight="1" x14ac:dyDescent="0.15"/>
    <row r="584" s="2" customFormat="1" ht="15.75" customHeight="1" x14ac:dyDescent="0.15"/>
    <row r="585" s="2" customFormat="1" ht="15.75" customHeight="1" x14ac:dyDescent="0.15"/>
    <row r="586" s="2" customFormat="1" ht="15.75" customHeight="1" x14ac:dyDescent="0.15"/>
    <row r="587" s="2" customFormat="1" ht="15.75" customHeight="1" x14ac:dyDescent="0.15"/>
    <row r="588" s="2" customFormat="1" ht="15.75" customHeight="1" x14ac:dyDescent="0.15"/>
    <row r="589" s="2" customFormat="1" ht="15.75" customHeight="1" x14ac:dyDescent="0.15"/>
    <row r="590" s="2" customFormat="1" ht="15.75" customHeight="1" x14ac:dyDescent="0.15"/>
    <row r="591" s="2" customFormat="1" ht="15.75" customHeight="1" x14ac:dyDescent="0.15"/>
    <row r="592" s="2" customFormat="1" ht="15.75" customHeight="1" x14ac:dyDescent="0.15"/>
    <row r="593" s="2" customFormat="1" ht="15.75" customHeight="1" x14ac:dyDescent="0.15"/>
    <row r="594" s="2" customFormat="1" ht="15.75" customHeight="1" x14ac:dyDescent="0.15"/>
    <row r="595" s="2" customFormat="1" ht="15.75" customHeight="1" x14ac:dyDescent="0.15"/>
    <row r="596" s="2" customFormat="1" ht="15.75" customHeight="1" x14ac:dyDescent="0.15"/>
    <row r="597" s="2" customFormat="1" ht="15.75" customHeight="1" x14ac:dyDescent="0.15"/>
    <row r="598" s="2" customFormat="1" ht="15.75" customHeight="1" x14ac:dyDescent="0.15"/>
    <row r="599" s="2" customFormat="1" ht="15.75" customHeight="1" x14ac:dyDescent="0.15"/>
    <row r="600" s="2" customFormat="1" ht="15.75" customHeight="1" x14ac:dyDescent="0.15"/>
    <row r="601" s="2" customFormat="1" ht="15.75" customHeight="1" x14ac:dyDescent="0.15"/>
    <row r="602" s="2" customFormat="1" ht="15.75" customHeight="1" x14ac:dyDescent="0.15"/>
    <row r="603" s="2" customFormat="1" ht="15.75" customHeight="1" x14ac:dyDescent="0.15"/>
    <row r="604" s="2" customFormat="1" ht="15.75" customHeight="1" x14ac:dyDescent="0.15"/>
    <row r="605" s="2" customFormat="1" ht="15.75" customHeight="1" x14ac:dyDescent="0.15"/>
    <row r="606" s="2" customFormat="1" ht="15.75" customHeight="1" x14ac:dyDescent="0.15"/>
    <row r="607" s="2" customFormat="1" ht="15.75" customHeight="1" x14ac:dyDescent="0.15"/>
    <row r="608" s="2" customFormat="1" ht="15.75" customHeight="1" x14ac:dyDescent="0.15"/>
    <row r="609" s="2" customFormat="1" ht="15.75" customHeight="1" x14ac:dyDescent="0.15"/>
    <row r="610" s="2" customFormat="1" ht="15.75" customHeight="1" x14ac:dyDescent="0.15"/>
    <row r="611" s="2" customFormat="1" ht="15.75" customHeight="1" x14ac:dyDescent="0.15"/>
    <row r="612" s="2" customFormat="1" ht="15.75" customHeight="1" x14ac:dyDescent="0.15"/>
    <row r="613" s="2" customFormat="1" ht="15.75" customHeight="1" x14ac:dyDescent="0.15"/>
    <row r="614" s="2" customFormat="1" ht="15.75" customHeight="1" x14ac:dyDescent="0.15"/>
    <row r="615" s="2" customFormat="1" ht="15.75" customHeight="1" x14ac:dyDescent="0.15"/>
    <row r="616" s="2" customFormat="1" ht="15.75" customHeight="1" x14ac:dyDescent="0.15"/>
    <row r="617" s="2" customFormat="1" ht="15.75" customHeight="1" x14ac:dyDescent="0.15"/>
    <row r="618" s="2" customFormat="1" ht="15.75" customHeight="1" x14ac:dyDescent="0.15"/>
    <row r="619" s="2" customFormat="1" ht="15.75" customHeight="1" x14ac:dyDescent="0.15"/>
    <row r="620" s="2" customFormat="1" ht="15.75" customHeight="1" x14ac:dyDescent="0.15"/>
    <row r="621" s="2" customFormat="1" ht="15.75" customHeight="1" x14ac:dyDescent="0.15"/>
    <row r="622" s="2" customFormat="1" ht="15.75" customHeight="1" x14ac:dyDescent="0.15"/>
    <row r="623" s="2" customFormat="1" ht="15.75" customHeight="1" x14ac:dyDescent="0.15"/>
    <row r="624" s="2" customFormat="1" ht="15.75" customHeight="1" x14ac:dyDescent="0.15"/>
    <row r="625" s="2" customFormat="1" ht="15.75" customHeight="1" x14ac:dyDescent="0.15"/>
    <row r="626" s="2" customFormat="1" ht="15.75" customHeight="1" x14ac:dyDescent="0.15"/>
    <row r="627" s="2" customFormat="1" ht="15.75" customHeight="1" x14ac:dyDescent="0.15"/>
    <row r="628" s="2" customFormat="1" ht="15.75" customHeight="1" x14ac:dyDescent="0.15"/>
    <row r="629" s="2" customFormat="1" ht="15.75" customHeight="1" x14ac:dyDescent="0.15"/>
    <row r="630" s="2" customFormat="1" ht="15.75" customHeight="1" x14ac:dyDescent="0.15"/>
    <row r="631" s="2" customFormat="1" ht="15.75" customHeight="1" x14ac:dyDescent="0.15"/>
    <row r="632" s="2" customFormat="1" ht="15.75" customHeight="1" x14ac:dyDescent="0.15"/>
    <row r="633" s="2" customFormat="1" ht="15.75" customHeight="1" x14ac:dyDescent="0.15"/>
    <row r="634" s="2" customFormat="1" ht="15.75" customHeight="1" x14ac:dyDescent="0.15"/>
    <row r="635" s="2" customFormat="1" ht="15.75" customHeight="1" x14ac:dyDescent="0.15"/>
    <row r="636" s="2" customFormat="1" ht="15.75" customHeight="1" x14ac:dyDescent="0.15"/>
    <row r="637" s="2" customFormat="1" ht="15.75" customHeight="1" x14ac:dyDescent="0.15"/>
    <row r="638" s="2" customFormat="1" ht="15.75" customHeight="1" x14ac:dyDescent="0.15"/>
    <row r="639" s="2" customFormat="1" ht="15.75" customHeight="1" x14ac:dyDescent="0.15"/>
    <row r="640" s="2" customFormat="1" ht="15.75" customHeight="1" x14ac:dyDescent="0.15"/>
    <row r="641" s="2" customFormat="1" ht="15.75" customHeight="1" x14ac:dyDescent="0.15"/>
    <row r="642" s="2" customFormat="1" ht="15.75" customHeight="1" x14ac:dyDescent="0.15"/>
    <row r="643" s="2" customFormat="1" ht="15.75" customHeight="1" x14ac:dyDescent="0.15"/>
    <row r="644" s="2" customFormat="1" ht="15.75" customHeight="1" x14ac:dyDescent="0.15"/>
    <row r="645" s="2" customFormat="1" ht="15.75" customHeight="1" x14ac:dyDescent="0.15"/>
    <row r="646" s="2" customFormat="1" ht="15.75" customHeight="1" x14ac:dyDescent="0.15"/>
    <row r="647" s="2" customFormat="1" ht="15.75" customHeight="1" x14ac:dyDescent="0.15"/>
    <row r="648" s="2" customFormat="1" ht="15.75" customHeight="1" x14ac:dyDescent="0.15"/>
    <row r="649" s="2" customFormat="1" ht="15.75" customHeight="1" x14ac:dyDescent="0.15"/>
    <row r="650" s="2" customFormat="1" ht="15.75" customHeight="1" x14ac:dyDescent="0.15"/>
    <row r="651" s="2" customFormat="1" ht="15.75" customHeight="1" x14ac:dyDescent="0.15"/>
    <row r="652" s="2" customFormat="1" ht="15.75" customHeight="1" x14ac:dyDescent="0.15"/>
    <row r="653" s="2" customFormat="1" ht="15.75" customHeight="1" x14ac:dyDescent="0.15"/>
    <row r="654" s="2" customFormat="1" ht="15.75" customHeight="1" x14ac:dyDescent="0.15"/>
    <row r="655" s="2" customFormat="1" ht="15.75" customHeight="1" x14ac:dyDescent="0.15"/>
    <row r="656" s="2" customFormat="1" ht="15.75" customHeight="1" x14ac:dyDescent="0.15"/>
    <row r="657" s="2" customFormat="1" ht="15.75" customHeight="1" x14ac:dyDescent="0.15"/>
    <row r="658" s="2" customFormat="1" ht="15.75" customHeight="1" x14ac:dyDescent="0.15"/>
    <row r="659" s="2" customFormat="1" ht="15.75" customHeight="1" x14ac:dyDescent="0.15"/>
    <row r="660" s="2" customFormat="1" ht="15.75" customHeight="1" x14ac:dyDescent="0.15"/>
    <row r="661" s="2" customFormat="1" ht="15.75" customHeight="1" x14ac:dyDescent="0.15"/>
    <row r="662" s="2" customFormat="1" ht="15.75" customHeight="1" x14ac:dyDescent="0.15"/>
    <row r="663" s="2" customFormat="1" ht="15.75" customHeight="1" x14ac:dyDescent="0.15"/>
    <row r="664" s="2" customFormat="1" ht="15.75" customHeight="1" x14ac:dyDescent="0.15"/>
    <row r="665" s="2" customFormat="1" ht="15.75" customHeight="1" x14ac:dyDescent="0.15"/>
    <row r="666" s="2" customFormat="1" ht="15.75" customHeight="1" x14ac:dyDescent="0.15"/>
    <row r="667" s="2" customFormat="1" ht="15.75" customHeight="1" x14ac:dyDescent="0.15"/>
    <row r="668" s="2" customFormat="1" ht="15.75" customHeight="1" x14ac:dyDescent="0.15"/>
    <row r="669" s="2" customFormat="1" ht="15.75" customHeight="1" x14ac:dyDescent="0.15"/>
    <row r="670" s="2" customFormat="1" ht="15.75" customHeight="1" x14ac:dyDescent="0.15"/>
    <row r="671" s="2" customFormat="1" ht="15.75" customHeight="1" x14ac:dyDescent="0.15"/>
    <row r="672" s="2" customFormat="1" ht="15.75" customHeight="1" x14ac:dyDescent="0.15"/>
    <row r="673" s="2" customFormat="1" ht="15.75" customHeight="1" x14ac:dyDescent="0.15"/>
    <row r="674" s="2" customFormat="1" ht="15.75" customHeight="1" x14ac:dyDescent="0.15"/>
    <row r="675" s="2" customFormat="1" ht="15.75" customHeight="1" x14ac:dyDescent="0.15"/>
    <row r="676" s="2" customFormat="1" ht="15.75" customHeight="1" x14ac:dyDescent="0.15"/>
    <row r="677" s="2" customFormat="1" ht="15.75" customHeight="1" x14ac:dyDescent="0.15"/>
    <row r="678" s="2" customFormat="1" ht="15.75" customHeight="1" x14ac:dyDescent="0.15"/>
    <row r="679" s="2" customFormat="1" ht="15.75" customHeight="1" x14ac:dyDescent="0.15"/>
    <row r="680" s="2" customFormat="1" ht="15.75" customHeight="1" x14ac:dyDescent="0.15"/>
    <row r="681" s="2" customFormat="1" ht="15.75" customHeight="1" x14ac:dyDescent="0.15"/>
    <row r="682" s="2" customFormat="1" ht="15.75" customHeight="1" x14ac:dyDescent="0.15"/>
    <row r="683" s="2" customFormat="1" ht="15.75" customHeight="1" x14ac:dyDescent="0.15"/>
    <row r="684" s="2" customFormat="1" ht="15.75" customHeight="1" x14ac:dyDescent="0.15"/>
    <row r="685" s="2" customFormat="1" ht="15.75" customHeight="1" x14ac:dyDescent="0.15"/>
    <row r="686" s="2" customFormat="1" ht="15.75" customHeight="1" x14ac:dyDescent="0.15"/>
    <row r="687" s="2" customFormat="1" ht="15.75" customHeight="1" x14ac:dyDescent="0.15"/>
    <row r="688" s="2" customFormat="1" ht="15.75" customHeight="1" x14ac:dyDescent="0.15"/>
    <row r="689" s="2" customFormat="1" ht="15.75" customHeight="1" x14ac:dyDescent="0.15"/>
    <row r="690" s="2" customFormat="1" ht="15.75" customHeight="1" x14ac:dyDescent="0.15"/>
    <row r="691" s="2" customFormat="1" ht="15.75" customHeight="1" x14ac:dyDescent="0.15"/>
    <row r="692" s="2" customFormat="1" ht="15.75" customHeight="1" x14ac:dyDescent="0.15"/>
    <row r="693" s="2" customFormat="1" ht="15.75" customHeight="1" x14ac:dyDescent="0.15"/>
    <row r="694" s="2" customFormat="1" ht="15.75" customHeight="1" x14ac:dyDescent="0.15"/>
    <row r="695" s="2" customFormat="1" ht="15.75" customHeight="1" x14ac:dyDescent="0.15"/>
    <row r="696" s="2" customFormat="1" ht="15.75" customHeight="1" x14ac:dyDescent="0.15"/>
    <row r="697" s="2" customFormat="1" ht="15.75" customHeight="1" x14ac:dyDescent="0.15"/>
    <row r="698" s="2" customFormat="1" ht="15.75" customHeight="1" x14ac:dyDescent="0.15"/>
    <row r="699" s="2" customFormat="1" ht="15.75" customHeight="1" x14ac:dyDescent="0.15"/>
    <row r="700" s="2" customFormat="1" ht="15.75" customHeight="1" x14ac:dyDescent="0.15"/>
    <row r="701" s="2" customFormat="1" ht="15.75" customHeight="1" x14ac:dyDescent="0.15"/>
    <row r="702" s="2" customFormat="1" ht="15.75" customHeight="1" x14ac:dyDescent="0.15"/>
    <row r="703" s="2" customFormat="1" ht="15.75" customHeight="1" x14ac:dyDescent="0.15"/>
    <row r="704" s="2" customFormat="1" ht="15.75" customHeight="1" x14ac:dyDescent="0.15"/>
    <row r="705" s="2" customFormat="1" ht="15.75" customHeight="1" x14ac:dyDescent="0.15"/>
    <row r="706" s="2" customFormat="1" ht="15.75" customHeight="1" x14ac:dyDescent="0.15"/>
    <row r="707" s="2" customFormat="1" ht="15.75" customHeight="1" x14ac:dyDescent="0.15"/>
    <row r="708" s="2" customFormat="1" ht="15.75" customHeight="1" x14ac:dyDescent="0.15"/>
    <row r="709" s="2" customFormat="1" ht="15.75" customHeight="1" x14ac:dyDescent="0.15"/>
    <row r="710" s="2" customFormat="1" ht="15.75" customHeight="1" x14ac:dyDescent="0.15"/>
    <row r="711" s="2" customFormat="1" ht="15.75" customHeight="1" x14ac:dyDescent="0.15"/>
    <row r="712" s="2" customFormat="1" ht="15.75" customHeight="1" x14ac:dyDescent="0.15"/>
    <row r="713" s="2" customFormat="1" ht="15.75" customHeight="1" x14ac:dyDescent="0.15"/>
    <row r="714" s="2" customFormat="1" ht="15.75" customHeight="1" x14ac:dyDescent="0.15"/>
    <row r="715" s="2" customFormat="1" ht="15.75" customHeight="1" x14ac:dyDescent="0.15"/>
    <row r="716" s="2" customFormat="1" ht="15.75" customHeight="1" x14ac:dyDescent="0.15"/>
    <row r="717" s="2" customFormat="1" ht="15.75" customHeight="1" x14ac:dyDescent="0.15"/>
    <row r="718" s="2" customFormat="1" ht="15.75" customHeight="1" x14ac:dyDescent="0.15"/>
    <row r="719" s="2" customFormat="1" ht="15.75" customHeight="1" x14ac:dyDescent="0.15"/>
    <row r="720" s="2" customFormat="1" ht="15.75" customHeight="1" x14ac:dyDescent="0.15"/>
    <row r="721" s="2" customFormat="1" ht="15.75" customHeight="1" x14ac:dyDescent="0.15"/>
    <row r="722" s="2" customFormat="1" ht="15.75" customHeight="1" x14ac:dyDescent="0.15"/>
    <row r="723" s="2" customFormat="1" ht="15.75" customHeight="1" x14ac:dyDescent="0.15"/>
    <row r="724" s="2" customFormat="1" ht="15.75" customHeight="1" x14ac:dyDescent="0.15"/>
    <row r="725" s="2" customFormat="1" ht="15.75" customHeight="1" x14ac:dyDescent="0.15"/>
    <row r="726" s="2" customFormat="1" ht="15.75" customHeight="1" x14ac:dyDescent="0.15"/>
    <row r="727" s="2" customFormat="1" ht="15.75" customHeight="1" x14ac:dyDescent="0.15"/>
    <row r="728" s="2" customFormat="1" ht="15.75" customHeight="1" x14ac:dyDescent="0.15"/>
    <row r="729" s="2" customFormat="1" ht="15.75" customHeight="1" x14ac:dyDescent="0.15"/>
    <row r="730" s="2" customFormat="1" ht="15.75" customHeight="1" x14ac:dyDescent="0.15"/>
    <row r="731" s="2" customFormat="1" ht="15.75" customHeight="1" x14ac:dyDescent="0.15"/>
    <row r="732" s="2" customFormat="1" ht="15.75" customHeight="1" x14ac:dyDescent="0.15"/>
    <row r="733" s="2" customFormat="1" ht="15.75" customHeight="1" x14ac:dyDescent="0.15"/>
    <row r="734" s="2" customFormat="1" ht="15.75" customHeight="1" x14ac:dyDescent="0.15"/>
    <row r="735" s="2" customFormat="1" ht="15.75" customHeight="1" x14ac:dyDescent="0.15"/>
    <row r="736" s="2" customFormat="1" ht="15.75" customHeight="1" x14ac:dyDescent="0.15"/>
    <row r="737" s="2" customFormat="1" ht="15.75" customHeight="1" x14ac:dyDescent="0.15"/>
    <row r="738" s="2" customFormat="1" ht="15.75" customHeight="1" x14ac:dyDescent="0.15"/>
    <row r="739" s="2" customFormat="1" ht="15.75" customHeight="1" x14ac:dyDescent="0.15"/>
    <row r="740" s="2" customFormat="1" ht="15.75" customHeight="1" x14ac:dyDescent="0.15"/>
    <row r="741" s="2" customFormat="1" ht="15.75" customHeight="1" x14ac:dyDescent="0.15"/>
    <row r="742" s="2" customFormat="1" ht="15.75" customHeight="1" x14ac:dyDescent="0.15"/>
    <row r="743" s="2" customFormat="1" ht="15.75" customHeight="1" x14ac:dyDescent="0.15"/>
    <row r="744" s="2" customFormat="1" ht="15.75" customHeight="1" x14ac:dyDescent="0.15"/>
    <row r="745" s="2" customFormat="1" ht="15.75" customHeight="1" x14ac:dyDescent="0.15"/>
    <row r="746" s="2" customFormat="1" ht="15.75" customHeight="1" x14ac:dyDescent="0.15"/>
    <row r="747" s="2" customFormat="1" ht="15.75" customHeight="1" x14ac:dyDescent="0.15"/>
    <row r="748" s="2" customFormat="1" ht="15.75" customHeight="1" x14ac:dyDescent="0.15"/>
    <row r="749" s="2" customFormat="1" ht="15.75" customHeight="1" x14ac:dyDescent="0.15"/>
    <row r="750" s="2" customFormat="1" ht="15.75" customHeight="1" x14ac:dyDescent="0.15"/>
    <row r="751" s="2" customFormat="1" ht="15.75" customHeight="1" x14ac:dyDescent="0.15"/>
    <row r="752" s="2" customFormat="1" ht="15.75" customHeight="1" x14ac:dyDescent="0.15"/>
    <row r="753" s="2" customFormat="1" ht="15.75" customHeight="1" x14ac:dyDescent="0.15"/>
    <row r="754" s="2" customFormat="1" ht="15.75" customHeight="1" x14ac:dyDescent="0.15"/>
    <row r="755" s="2" customFormat="1" ht="15.75" customHeight="1" x14ac:dyDescent="0.15"/>
    <row r="756" s="2" customFormat="1" ht="15.75" customHeight="1" x14ac:dyDescent="0.15"/>
    <row r="757" s="2" customFormat="1" ht="15.75" customHeight="1" x14ac:dyDescent="0.15"/>
    <row r="758" s="2" customFormat="1" ht="15.75" customHeight="1" x14ac:dyDescent="0.15"/>
    <row r="759" s="2" customFormat="1" ht="15.75" customHeight="1" x14ac:dyDescent="0.15"/>
    <row r="760" s="2" customFormat="1" ht="15.75" customHeight="1" x14ac:dyDescent="0.15"/>
    <row r="761" s="2" customFormat="1" ht="15.75" customHeight="1" x14ac:dyDescent="0.15"/>
    <row r="762" s="2" customFormat="1" ht="15.75" customHeight="1" x14ac:dyDescent="0.15"/>
    <row r="763" s="2" customFormat="1" ht="15.75" customHeight="1" x14ac:dyDescent="0.15"/>
    <row r="764" s="2" customFormat="1" ht="15.75" customHeight="1" x14ac:dyDescent="0.15"/>
    <row r="765" s="2" customFormat="1" ht="15.75" customHeight="1" x14ac:dyDescent="0.15"/>
    <row r="766" s="2" customFormat="1" ht="15.75" customHeight="1" x14ac:dyDescent="0.15"/>
    <row r="767" s="2" customFormat="1" ht="15.75" customHeight="1" x14ac:dyDescent="0.15"/>
    <row r="768" s="2" customFormat="1" ht="15.75" customHeight="1" x14ac:dyDescent="0.15"/>
    <row r="769" s="2" customFormat="1" ht="15.75" customHeight="1" x14ac:dyDescent="0.15"/>
    <row r="770" s="2" customFormat="1" ht="15.75" customHeight="1" x14ac:dyDescent="0.15"/>
    <row r="771" s="2" customFormat="1" ht="15.75" customHeight="1" x14ac:dyDescent="0.15"/>
    <row r="772" s="2" customFormat="1" ht="15.75" customHeight="1" x14ac:dyDescent="0.15"/>
    <row r="773" s="2" customFormat="1" ht="15.75" customHeight="1" x14ac:dyDescent="0.15"/>
    <row r="774" s="2" customFormat="1" ht="15.75" customHeight="1" x14ac:dyDescent="0.15"/>
    <row r="775" s="2" customFormat="1" ht="15.75" customHeight="1" x14ac:dyDescent="0.15"/>
    <row r="776" s="2" customFormat="1" ht="15.75" customHeight="1" x14ac:dyDescent="0.15"/>
    <row r="777" s="2" customFormat="1" ht="15.75" customHeight="1" x14ac:dyDescent="0.15"/>
    <row r="778" s="2" customFormat="1" ht="15.75" customHeight="1" x14ac:dyDescent="0.15"/>
    <row r="779" s="2" customFormat="1" ht="15.75" customHeight="1" x14ac:dyDescent="0.15"/>
    <row r="780" s="2" customFormat="1" ht="15.75" customHeight="1" x14ac:dyDescent="0.15"/>
    <row r="781" s="2" customFormat="1" ht="15.75" customHeight="1" x14ac:dyDescent="0.15"/>
    <row r="782" s="2" customFormat="1" ht="15.75" customHeight="1" x14ac:dyDescent="0.15"/>
    <row r="783" s="2" customFormat="1" ht="15.75" customHeight="1" x14ac:dyDescent="0.15"/>
    <row r="784" s="2" customFormat="1" ht="15.75" customHeight="1" x14ac:dyDescent="0.15"/>
    <row r="785" s="2" customFormat="1" ht="15.75" customHeight="1" x14ac:dyDescent="0.15"/>
    <row r="786" s="2" customFormat="1" ht="15.75" customHeight="1" x14ac:dyDescent="0.15"/>
    <row r="787" s="2" customFormat="1" ht="15.75" customHeight="1" x14ac:dyDescent="0.15"/>
    <row r="788" s="2" customFormat="1" ht="15.75" customHeight="1" x14ac:dyDescent="0.15"/>
    <row r="789" s="2" customFormat="1" ht="15.75" customHeight="1" x14ac:dyDescent="0.15"/>
    <row r="790" s="2" customFormat="1" ht="15.75" customHeight="1" x14ac:dyDescent="0.15"/>
    <row r="791" s="2" customFormat="1" ht="15.75" customHeight="1" x14ac:dyDescent="0.15"/>
    <row r="792" s="2" customFormat="1" ht="15.75" customHeight="1" x14ac:dyDescent="0.15"/>
    <row r="793" s="2" customFormat="1" ht="15.75" customHeight="1" x14ac:dyDescent="0.15"/>
    <row r="794" s="2" customFormat="1" ht="15.75" customHeight="1" x14ac:dyDescent="0.15"/>
    <row r="795" s="2" customFormat="1" ht="15.75" customHeight="1" x14ac:dyDescent="0.15"/>
    <row r="796" s="2" customFormat="1" ht="15.75" customHeight="1" x14ac:dyDescent="0.15"/>
    <row r="797" s="2" customFormat="1" ht="15.75" customHeight="1" x14ac:dyDescent="0.15"/>
    <row r="798" s="2" customFormat="1" ht="15.75" customHeight="1" x14ac:dyDescent="0.15"/>
    <row r="799" s="2" customFormat="1" ht="15.75" customHeight="1" x14ac:dyDescent="0.15"/>
    <row r="800" s="2" customFormat="1" ht="15.75" customHeight="1" x14ac:dyDescent="0.15"/>
    <row r="801" s="2" customFormat="1" ht="15.75" customHeight="1" x14ac:dyDescent="0.15"/>
    <row r="802" s="2" customFormat="1" ht="15.75" customHeight="1" x14ac:dyDescent="0.15"/>
    <row r="803" s="2" customFormat="1" ht="15.75" customHeight="1" x14ac:dyDescent="0.15"/>
    <row r="804" s="2" customFormat="1" ht="15.75" customHeight="1" x14ac:dyDescent="0.15"/>
    <row r="805" s="2" customFormat="1" ht="15.75" customHeight="1" x14ac:dyDescent="0.15"/>
    <row r="806" s="2" customFormat="1" ht="15.75" customHeight="1" x14ac:dyDescent="0.15"/>
    <row r="807" s="2" customFormat="1" ht="15.75" customHeight="1" x14ac:dyDescent="0.15"/>
    <row r="808" s="2" customFormat="1" ht="15.75" customHeight="1" x14ac:dyDescent="0.15"/>
    <row r="809" s="2" customFormat="1" ht="15.75" customHeight="1" x14ac:dyDescent="0.15"/>
    <row r="810" s="2" customFormat="1" ht="15.75" customHeight="1" x14ac:dyDescent="0.15"/>
    <row r="811" s="2" customFormat="1" ht="15.75" customHeight="1" x14ac:dyDescent="0.15"/>
    <row r="812" s="2" customFormat="1" ht="15.75" customHeight="1" x14ac:dyDescent="0.15"/>
    <row r="813" s="2" customFormat="1" ht="15.75" customHeight="1" x14ac:dyDescent="0.15"/>
    <row r="814" s="2" customFormat="1" ht="15.75" customHeight="1" x14ac:dyDescent="0.15"/>
    <row r="815" s="2" customFormat="1" ht="15.75" customHeight="1" x14ac:dyDescent="0.15"/>
    <row r="816" s="2" customFormat="1" ht="15.75" customHeight="1" x14ac:dyDescent="0.15"/>
    <row r="817" s="2" customFormat="1" ht="15.75" customHeight="1" x14ac:dyDescent="0.15"/>
    <row r="818" s="2" customFormat="1" ht="15.75" customHeight="1" x14ac:dyDescent="0.15"/>
    <row r="819" s="2" customFormat="1" ht="15.75" customHeight="1" x14ac:dyDescent="0.15"/>
    <row r="820" s="2" customFormat="1" ht="15.75" customHeight="1" x14ac:dyDescent="0.15"/>
    <row r="821" s="2" customFormat="1" ht="15.75" customHeight="1" x14ac:dyDescent="0.15"/>
    <row r="822" s="2" customFormat="1" ht="15.75" customHeight="1" x14ac:dyDescent="0.15"/>
    <row r="823" s="2" customFormat="1" ht="15.75" customHeight="1" x14ac:dyDescent="0.15"/>
    <row r="824" s="2" customFormat="1" ht="15.75" customHeight="1" x14ac:dyDescent="0.15"/>
    <row r="825" s="2" customFormat="1" ht="15.75" customHeight="1" x14ac:dyDescent="0.15"/>
    <row r="826" s="2" customFormat="1" ht="15.75" customHeight="1" x14ac:dyDescent="0.15"/>
    <row r="827" s="2" customFormat="1" ht="15.75" customHeight="1" x14ac:dyDescent="0.15"/>
    <row r="828" s="2" customFormat="1" ht="15.75" customHeight="1" x14ac:dyDescent="0.15"/>
    <row r="829" s="2" customFormat="1" ht="15.75" customHeight="1" x14ac:dyDescent="0.15"/>
    <row r="830" s="2" customFormat="1" ht="15.75" customHeight="1" x14ac:dyDescent="0.15"/>
    <row r="831" s="2" customFormat="1" ht="15.75" customHeight="1" x14ac:dyDescent="0.15"/>
    <row r="832" s="2" customFormat="1" ht="15.75" customHeight="1" x14ac:dyDescent="0.15"/>
    <row r="833" s="2" customFormat="1" ht="15.75" customHeight="1" x14ac:dyDescent="0.15"/>
    <row r="834" s="2" customFormat="1" ht="15.75" customHeight="1" x14ac:dyDescent="0.15"/>
    <row r="835" s="2" customFormat="1" ht="15.75" customHeight="1" x14ac:dyDescent="0.15"/>
    <row r="836" s="2" customFormat="1" ht="15.75" customHeight="1" x14ac:dyDescent="0.15"/>
    <row r="837" s="2" customFormat="1" ht="15.75" customHeight="1" x14ac:dyDescent="0.15"/>
    <row r="838" s="2" customFormat="1" ht="15.75" customHeight="1" x14ac:dyDescent="0.15"/>
    <row r="839" s="2" customFormat="1" ht="15.75" customHeight="1" x14ac:dyDescent="0.15"/>
    <row r="840" s="2" customFormat="1" ht="15.75" customHeight="1" x14ac:dyDescent="0.15"/>
    <row r="841" s="2" customFormat="1" ht="15.75" customHeight="1" x14ac:dyDescent="0.15"/>
    <row r="842" s="2" customFormat="1" ht="15.75" customHeight="1" x14ac:dyDescent="0.15"/>
    <row r="843" s="2" customFormat="1" ht="15.75" customHeight="1" x14ac:dyDescent="0.15"/>
    <row r="844" s="2" customFormat="1" ht="15.75" customHeight="1" x14ac:dyDescent="0.15"/>
    <row r="845" s="2" customFormat="1" ht="15.75" customHeight="1" x14ac:dyDescent="0.15"/>
    <row r="846" s="2" customFormat="1" ht="15.75" customHeight="1" x14ac:dyDescent="0.15"/>
    <row r="847" s="2" customFormat="1" ht="15.75" customHeight="1" x14ac:dyDescent="0.15"/>
    <row r="848" s="2" customFormat="1" ht="15.75" customHeight="1" x14ac:dyDescent="0.15"/>
    <row r="849" s="2" customFormat="1" ht="15.75" customHeight="1" x14ac:dyDescent="0.15"/>
    <row r="850" s="2" customFormat="1" ht="15.75" customHeight="1" x14ac:dyDescent="0.15"/>
    <row r="851" s="2" customFormat="1" ht="15.75" customHeight="1" x14ac:dyDescent="0.15"/>
    <row r="852" s="2" customFormat="1" ht="15.75" customHeight="1" x14ac:dyDescent="0.15"/>
    <row r="853" s="2" customFormat="1" ht="15.75" customHeight="1" x14ac:dyDescent="0.15"/>
    <row r="854" s="2" customFormat="1" ht="15.75" customHeight="1" x14ac:dyDescent="0.15"/>
    <row r="855" s="2" customFormat="1" ht="15.75" customHeight="1" x14ac:dyDescent="0.15"/>
    <row r="856" s="2" customFormat="1" ht="15.75" customHeight="1" x14ac:dyDescent="0.15"/>
    <row r="857" s="2" customFormat="1" ht="15.75" customHeight="1" x14ac:dyDescent="0.15"/>
    <row r="858" s="2" customFormat="1" ht="15.75" customHeight="1" x14ac:dyDescent="0.15"/>
    <row r="859" s="2" customFormat="1" ht="15.75" customHeight="1" x14ac:dyDescent="0.15"/>
    <row r="860" s="2" customFormat="1" ht="15.75" customHeight="1" x14ac:dyDescent="0.15"/>
    <row r="861" s="2" customFormat="1" ht="15.75" customHeight="1" x14ac:dyDescent="0.15"/>
    <row r="862" s="2" customFormat="1" ht="15.75" customHeight="1" x14ac:dyDescent="0.15"/>
    <row r="863" s="2" customFormat="1" ht="15.75" customHeight="1" x14ac:dyDescent="0.15"/>
    <row r="864" s="2" customFormat="1" ht="15.75" customHeight="1" x14ac:dyDescent="0.15"/>
    <row r="865" s="2" customFormat="1" ht="15.75" customHeight="1" x14ac:dyDescent="0.15"/>
    <row r="866" s="2" customFormat="1" ht="15.75" customHeight="1" x14ac:dyDescent="0.15"/>
    <row r="867" s="2" customFormat="1" ht="15.75" customHeight="1" x14ac:dyDescent="0.15"/>
    <row r="868" s="2" customFormat="1" ht="15.75" customHeight="1" x14ac:dyDescent="0.15"/>
    <row r="869" s="2" customFormat="1" ht="15.75" customHeight="1" x14ac:dyDescent="0.15"/>
    <row r="870" s="2" customFormat="1" ht="15.75" customHeight="1" x14ac:dyDescent="0.15"/>
    <row r="871" s="2" customFormat="1" ht="15.75" customHeight="1" x14ac:dyDescent="0.15"/>
    <row r="872" s="2" customFormat="1" ht="15.75" customHeight="1" x14ac:dyDescent="0.15"/>
    <row r="873" s="2" customFormat="1" ht="15.75" customHeight="1" x14ac:dyDescent="0.15"/>
    <row r="874" s="2" customFormat="1" ht="15.75" customHeight="1" x14ac:dyDescent="0.15"/>
    <row r="875" s="2" customFormat="1" ht="15.75" customHeight="1" x14ac:dyDescent="0.15"/>
    <row r="876" s="2" customFormat="1" ht="15.75" customHeight="1" x14ac:dyDescent="0.15"/>
    <row r="877" s="2" customFormat="1" ht="15.75" customHeight="1" x14ac:dyDescent="0.15"/>
    <row r="878" s="2" customFormat="1" ht="15.75" customHeight="1" x14ac:dyDescent="0.15"/>
    <row r="879" s="2" customFormat="1" ht="15.75" customHeight="1" x14ac:dyDescent="0.15"/>
    <row r="880" s="2" customFormat="1" ht="15.75" customHeight="1" x14ac:dyDescent="0.15"/>
    <row r="881" s="2" customFormat="1" ht="15.75" customHeight="1" x14ac:dyDescent="0.15"/>
    <row r="882" s="2" customFormat="1" ht="15.75" customHeight="1" x14ac:dyDescent="0.15"/>
    <row r="883" s="2" customFormat="1" ht="15.75" customHeight="1" x14ac:dyDescent="0.15"/>
    <row r="884" s="2" customFormat="1" ht="15.75" customHeight="1" x14ac:dyDescent="0.15"/>
    <row r="885" s="2" customFormat="1" ht="15.75" customHeight="1" x14ac:dyDescent="0.15"/>
    <row r="886" s="2" customFormat="1" ht="15.75" customHeight="1" x14ac:dyDescent="0.15"/>
    <row r="887" s="2" customFormat="1" ht="15.75" customHeight="1" x14ac:dyDescent="0.15"/>
    <row r="888" s="2" customFormat="1" ht="15.75" customHeight="1" x14ac:dyDescent="0.15"/>
    <row r="889" s="2" customFormat="1" ht="15.75" customHeight="1" x14ac:dyDescent="0.15"/>
    <row r="890" s="2" customFormat="1" ht="15.75" customHeight="1" x14ac:dyDescent="0.15"/>
    <row r="891" s="2" customFormat="1" ht="15.75" customHeight="1" x14ac:dyDescent="0.15"/>
    <row r="892" s="2" customFormat="1" ht="15.75" customHeight="1" x14ac:dyDescent="0.15"/>
    <row r="893" s="2" customFormat="1" ht="15.75" customHeight="1" x14ac:dyDescent="0.15"/>
    <row r="894" s="2" customFormat="1" ht="15.75" customHeight="1" x14ac:dyDescent="0.15"/>
    <row r="895" s="2" customFormat="1" ht="15.75" customHeight="1" x14ac:dyDescent="0.15"/>
    <row r="896" s="2" customFormat="1" ht="15.75" customHeight="1" x14ac:dyDescent="0.15"/>
    <row r="897" s="2" customFormat="1" ht="15.75" customHeight="1" x14ac:dyDescent="0.15"/>
    <row r="898" s="2" customFormat="1" ht="15.75" customHeight="1" x14ac:dyDescent="0.15"/>
    <row r="899" s="2" customFormat="1" ht="15.75" customHeight="1" x14ac:dyDescent="0.15"/>
    <row r="900" s="2" customFormat="1" ht="15.75" customHeight="1" x14ac:dyDescent="0.15"/>
    <row r="901" s="2" customFormat="1" ht="15.75" customHeight="1" x14ac:dyDescent="0.15"/>
    <row r="902" s="2" customFormat="1" ht="15.75" customHeight="1" x14ac:dyDescent="0.15"/>
    <row r="903" s="2" customFormat="1" ht="15.75" customHeight="1" x14ac:dyDescent="0.15"/>
    <row r="904" s="2" customFormat="1" ht="15.75" customHeight="1" x14ac:dyDescent="0.15"/>
    <row r="905" s="2" customFormat="1" ht="15.75" customHeight="1" x14ac:dyDescent="0.15"/>
    <row r="906" s="2" customFormat="1" ht="15.75" customHeight="1" x14ac:dyDescent="0.15"/>
    <row r="907" s="2" customFormat="1" ht="15.75" customHeight="1" x14ac:dyDescent="0.15"/>
    <row r="908" s="2" customFormat="1" ht="15.75" customHeight="1" x14ac:dyDescent="0.15"/>
    <row r="909" s="2" customFormat="1" ht="15.75" customHeight="1" x14ac:dyDescent="0.15"/>
    <row r="910" s="2" customFormat="1" ht="15.75" customHeight="1" x14ac:dyDescent="0.15"/>
    <row r="911" s="2" customFormat="1" ht="15.75" customHeight="1" x14ac:dyDescent="0.15"/>
    <row r="912" s="2" customFormat="1" ht="15.75" customHeight="1" x14ac:dyDescent="0.15"/>
    <row r="913" s="2" customFormat="1" ht="15.75" customHeight="1" x14ac:dyDescent="0.15"/>
    <row r="914" s="2" customFormat="1" ht="15.75" customHeight="1" x14ac:dyDescent="0.15"/>
    <row r="915" s="2" customFormat="1" ht="15.75" customHeight="1" x14ac:dyDescent="0.15"/>
    <row r="916" s="2" customFormat="1" ht="15.75" customHeight="1" x14ac:dyDescent="0.15"/>
    <row r="917" s="2" customFormat="1" ht="15.75" customHeight="1" x14ac:dyDescent="0.15"/>
    <row r="918" s="2" customFormat="1" ht="15.75" customHeight="1" x14ac:dyDescent="0.15"/>
    <row r="919" s="2" customFormat="1" ht="15.75" customHeight="1" x14ac:dyDescent="0.15"/>
    <row r="920" s="2" customFormat="1" ht="15.75" customHeight="1" x14ac:dyDescent="0.15"/>
    <row r="921" s="2" customFormat="1" ht="15.75" customHeight="1" x14ac:dyDescent="0.15"/>
    <row r="922" s="2" customFormat="1" ht="15.75" customHeight="1" x14ac:dyDescent="0.15"/>
    <row r="923" s="2" customFormat="1" ht="15.75" customHeight="1" x14ac:dyDescent="0.15"/>
    <row r="924" s="2" customFormat="1" ht="15.75" customHeight="1" x14ac:dyDescent="0.15"/>
    <row r="925" s="2" customFormat="1" ht="15.75" customHeight="1" x14ac:dyDescent="0.15"/>
    <row r="926" s="2" customFormat="1" ht="15.75" customHeight="1" x14ac:dyDescent="0.15"/>
    <row r="927" s="2" customFormat="1" ht="15.75" customHeight="1" x14ac:dyDescent="0.15"/>
    <row r="928" s="2" customFormat="1" ht="15.75" customHeight="1" x14ac:dyDescent="0.15"/>
    <row r="929" s="2" customFormat="1" ht="15.75" customHeight="1" x14ac:dyDescent="0.15"/>
    <row r="930" s="2" customFormat="1" ht="15.75" customHeight="1" x14ac:dyDescent="0.15"/>
    <row r="931" s="2" customFormat="1" ht="15.75" customHeight="1" x14ac:dyDescent="0.15"/>
    <row r="932" s="2" customFormat="1" ht="15.75" customHeight="1" x14ac:dyDescent="0.15"/>
    <row r="933" s="2" customFormat="1" ht="15.75" customHeight="1" x14ac:dyDescent="0.15"/>
    <row r="934" s="2" customFormat="1" ht="15.75" customHeight="1" x14ac:dyDescent="0.15"/>
    <row r="935" s="2" customFormat="1" ht="15.75" customHeight="1" x14ac:dyDescent="0.15"/>
    <row r="936" s="2" customFormat="1" ht="15.75" customHeight="1" x14ac:dyDescent="0.15"/>
    <row r="937" s="2" customFormat="1" ht="15.75" customHeight="1" x14ac:dyDescent="0.15"/>
    <row r="938" s="2" customFormat="1" ht="15.75" customHeight="1" x14ac:dyDescent="0.15"/>
    <row r="939" s="2" customFormat="1" ht="15.75" customHeight="1" x14ac:dyDescent="0.15"/>
    <row r="940" s="2" customFormat="1" ht="15.75" customHeight="1" x14ac:dyDescent="0.15"/>
    <row r="941" s="2" customFormat="1" ht="15.75" customHeight="1" x14ac:dyDescent="0.15"/>
    <row r="942" s="2" customFormat="1" ht="15.75" customHeight="1" x14ac:dyDescent="0.15"/>
    <row r="943" s="2" customFormat="1" ht="15.75" customHeight="1" x14ac:dyDescent="0.15"/>
    <row r="944" s="2" customFormat="1" ht="15.75" customHeight="1" x14ac:dyDescent="0.15"/>
    <row r="945" s="2" customFormat="1" ht="15.75" customHeight="1" x14ac:dyDescent="0.15"/>
    <row r="946" s="2" customFormat="1" ht="15.75" customHeight="1" x14ac:dyDescent="0.15"/>
    <row r="947" s="2" customFormat="1" ht="15.75" customHeight="1" x14ac:dyDescent="0.15"/>
    <row r="948" s="2" customFormat="1" ht="15.75" customHeight="1" x14ac:dyDescent="0.15"/>
    <row r="949" s="2" customFormat="1" ht="15.75" customHeight="1" x14ac:dyDescent="0.15"/>
    <row r="950" s="2" customFormat="1" ht="15.75" customHeight="1" x14ac:dyDescent="0.15"/>
    <row r="951" s="2" customFormat="1" ht="15.75" customHeight="1" x14ac:dyDescent="0.15"/>
    <row r="952" s="2" customFormat="1" ht="15.75" customHeight="1" x14ac:dyDescent="0.15"/>
    <row r="953" s="2" customFormat="1" ht="15.75" customHeight="1" x14ac:dyDescent="0.15"/>
    <row r="954" s="2" customFormat="1" ht="15.75" customHeight="1" x14ac:dyDescent="0.15"/>
    <row r="955" s="2" customFormat="1" ht="15.75" customHeight="1" x14ac:dyDescent="0.15"/>
    <row r="956" s="2" customFormat="1" ht="15.75" customHeight="1" x14ac:dyDescent="0.15"/>
    <row r="957" s="2" customFormat="1" ht="15.75" customHeight="1" x14ac:dyDescent="0.15"/>
    <row r="958" s="2" customFormat="1" ht="15.75" customHeight="1" x14ac:dyDescent="0.15"/>
    <row r="959" s="2" customFormat="1" ht="15.75" customHeight="1" x14ac:dyDescent="0.15"/>
    <row r="960" s="2" customFormat="1" ht="15.75" customHeight="1" x14ac:dyDescent="0.15"/>
    <row r="961" s="2" customFormat="1" ht="15.75" customHeight="1" x14ac:dyDescent="0.15"/>
    <row r="962" s="2" customFormat="1" ht="15.75" customHeight="1" x14ac:dyDescent="0.15"/>
    <row r="963" s="2" customFormat="1" ht="15.75" customHeight="1" x14ac:dyDescent="0.15"/>
    <row r="964" s="2" customFormat="1" ht="15.75" customHeight="1" x14ac:dyDescent="0.15"/>
    <row r="965" s="2" customFormat="1" ht="15.75" customHeight="1" x14ac:dyDescent="0.15"/>
    <row r="966" s="2" customFormat="1" ht="15.75" customHeight="1" x14ac:dyDescent="0.15"/>
    <row r="967" s="2" customFormat="1" ht="15.75" customHeight="1" x14ac:dyDescent="0.15"/>
    <row r="968" s="2" customFormat="1" ht="15.75" customHeight="1" x14ac:dyDescent="0.15"/>
    <row r="969" s="2" customFormat="1" ht="15.75" customHeight="1" x14ac:dyDescent="0.15"/>
    <row r="970" s="2" customFormat="1" ht="15.75" customHeight="1" x14ac:dyDescent="0.15"/>
    <row r="971" s="2" customFormat="1" ht="15.75" customHeight="1" x14ac:dyDescent="0.15"/>
    <row r="972" s="2" customFormat="1" ht="15.75" customHeight="1" x14ac:dyDescent="0.15"/>
    <row r="973" s="2" customFormat="1" ht="15.75" customHeight="1" x14ac:dyDescent="0.15"/>
    <row r="974" s="2" customFormat="1" ht="15.75" customHeight="1" x14ac:dyDescent="0.15"/>
    <row r="975" s="2" customFormat="1" ht="15.75" customHeight="1" x14ac:dyDescent="0.15"/>
    <row r="976" s="2" customFormat="1" ht="15.75" customHeight="1" x14ac:dyDescent="0.15"/>
    <row r="977" s="2" customFormat="1" ht="15.75" customHeight="1" x14ac:dyDescent="0.15"/>
    <row r="978" s="2" customFormat="1" ht="15.75" customHeight="1" x14ac:dyDescent="0.15"/>
    <row r="979" s="2" customFormat="1" ht="15.75" customHeight="1" x14ac:dyDescent="0.15"/>
    <row r="980" s="2" customFormat="1" ht="15.75" customHeight="1" x14ac:dyDescent="0.15"/>
    <row r="981" s="2" customFormat="1" ht="15.75" customHeight="1" x14ac:dyDescent="0.15"/>
    <row r="982" s="2" customFormat="1" ht="15.75" customHeight="1" x14ac:dyDescent="0.15"/>
    <row r="983" s="2" customFormat="1" ht="15.75" customHeight="1" x14ac:dyDescent="0.15"/>
    <row r="984" s="2" customFormat="1" ht="15.75" customHeight="1" x14ac:dyDescent="0.15"/>
    <row r="985" s="2" customFormat="1" ht="15.75" customHeight="1" x14ac:dyDescent="0.15"/>
    <row r="986" s="2" customFormat="1" ht="15.75" customHeight="1" x14ac:dyDescent="0.15"/>
    <row r="987" s="2" customFormat="1" ht="15.75" customHeight="1" x14ac:dyDescent="0.15"/>
    <row r="988" s="2" customFormat="1" ht="15.75" customHeight="1" x14ac:dyDescent="0.15"/>
    <row r="989" s="2" customFormat="1" ht="15.75" customHeight="1" x14ac:dyDescent="0.15"/>
    <row r="990" s="2" customFormat="1" ht="15.75" customHeight="1" x14ac:dyDescent="0.15"/>
    <row r="991" s="2" customFormat="1" ht="15.75" customHeight="1" x14ac:dyDescent="0.15"/>
    <row r="992" s="2" customFormat="1" ht="15.75" customHeight="1" x14ac:dyDescent="0.15"/>
    <row r="993" s="2" customFormat="1" ht="15.75" customHeight="1" x14ac:dyDescent="0.15"/>
    <row r="994" s="2" customFormat="1" ht="15.75" customHeight="1" x14ac:dyDescent="0.15"/>
    <row r="995" s="2" customFormat="1" ht="15.75" customHeight="1" x14ac:dyDescent="0.15"/>
    <row r="996" s="2" customFormat="1" ht="15.75" customHeight="1" x14ac:dyDescent="0.15"/>
    <row r="997" s="2" customFormat="1" ht="15.75" customHeight="1" x14ac:dyDescent="0.15"/>
    <row r="998" s="2" customFormat="1" ht="15.75" customHeight="1" x14ac:dyDescent="0.15"/>
    <row r="999" s="2" customFormat="1" ht="15.75" customHeight="1" x14ac:dyDescent="0.15"/>
    <row r="1000" s="2" customFormat="1" ht="15.75" customHeight="1" x14ac:dyDescent="0.15"/>
  </sheetData>
  <mergeCells count="2">
    <mergeCell ref="A1:C1"/>
    <mergeCell ref="D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 DCR</vt:lpstr>
      <vt:lpstr>Gross Pat. Count</vt:lpstr>
      <vt:lpstr>Revenue Breakdown </vt:lpstr>
      <vt:lpstr>Deposit</vt:lpstr>
      <vt:lpstr>Shot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Chitalia, Meet</cp:lastModifiedBy>
  <dcterms:created xsi:type="dcterms:W3CDTF">2024-11-22T01:34:50Z</dcterms:created>
  <dcterms:modified xsi:type="dcterms:W3CDTF">2026-04-19T05:06:32Z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2026-04-02T00:05:25Z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e8ea445d-8e75-4acd-aadd-f31fc7d4bea0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50, 3, 0, 1</vt:lpwstr>
  </property>
</Properties>
</file>